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
    </mc:Choice>
  </mc:AlternateContent>
  <xr:revisionPtr revIDLastSave="0" documentId="8_{561381EC-0B91-4D96-B4A7-FB4111FE85EC}" xr6:coauthVersionLast="47" xr6:coauthVersionMax="47" xr10:uidLastSave="{00000000-0000-0000-0000-000000000000}"/>
  <bookViews>
    <workbookView xWindow="-108" yWindow="-108" windowWidth="23256" windowHeight="12456" activeTab="4" xr2:uid="{00000000-000D-0000-FFFF-FFFF00000000}"/>
  </bookViews>
  <sheets>
    <sheet name="Sheet2" sheetId="4" r:id="rId1"/>
    <sheet name="Sheet3" sheetId="5" r:id="rId2"/>
    <sheet name="Sheet5" sheetId="7" r:id="rId3"/>
    <sheet name="Sales_Data" sheetId="1" r:id="rId4"/>
    <sheet name="Dashboard" sheetId="6" r:id="rId5"/>
    <sheet name="Summary" sheetId="3" r:id="rId6"/>
  </sheets>
  <definedNames>
    <definedName name="_xlnm._FilterDatabase" localSheetId="3" hidden="1">Sales_Data!$A$1:$L$101</definedName>
    <definedName name="Slicer_Category">#N/A</definedName>
    <definedName name="Slicer_City">#N/A</definedName>
    <definedName name="Slicer_Months__Order_Date">#N/A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6" l="1"/>
  <c r="H6" i="6"/>
  <c r="K6" i="6"/>
  <c r="E6" i="6"/>
  <c r="B6" i="6"/>
  <c r="E10" i="3"/>
  <c r="E11" i="3"/>
  <c r="E9" i="3"/>
  <c r="B10" i="3"/>
  <c r="B11" i="3"/>
  <c r="B12" i="3"/>
  <c r="B13" i="3"/>
  <c r="B14" i="3"/>
  <c r="B9" i="3"/>
  <c r="B5" i="3"/>
  <c r="B4" i="3"/>
  <c r="B3" i="3"/>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sharedStrings.xml><?xml version="1.0" encoding="utf-8"?>
<sst xmlns="http://schemas.openxmlformats.org/spreadsheetml/2006/main" count="869" uniqueCount="189">
  <si>
    <t>Order_ID</t>
  </si>
  <si>
    <t>Order_Date</t>
  </si>
  <si>
    <t>Customer_Name</t>
  </si>
  <si>
    <t>City</t>
  </si>
  <si>
    <t>Salesperson</t>
  </si>
  <si>
    <t>Product</t>
  </si>
  <si>
    <t>Category</t>
  </si>
  <si>
    <t>Quantity</t>
  </si>
  <si>
    <t>Unit_Price</t>
  </si>
  <si>
    <t>Discount_Percent</t>
  </si>
  <si>
    <t>Payment_Mode</t>
  </si>
  <si>
    <t>Order_Status</t>
  </si>
  <si>
    <t>ORD001</t>
  </si>
  <si>
    <t>Ananya Roy</t>
  </si>
  <si>
    <t>Ranchi</t>
  </si>
  <si>
    <t>Arjun</t>
  </si>
  <si>
    <t>Desk Lamp</t>
  </si>
  <si>
    <t>Home &amp; Decor</t>
  </si>
  <si>
    <t>Credit Card</t>
  </si>
  <si>
    <t>Delivered</t>
  </si>
  <si>
    <t>ORD002</t>
  </si>
  <si>
    <t>Bengaluru</t>
  </si>
  <si>
    <t>Priya</t>
  </si>
  <si>
    <t>Laptop</t>
  </si>
  <si>
    <t>Electronics</t>
  </si>
  <si>
    <t>Debit Card</t>
  </si>
  <si>
    <t>ORD003</t>
  </si>
  <si>
    <t>Priya Singh</t>
  </si>
  <si>
    <t>Hyderabad</t>
  </si>
  <si>
    <t>Neha</t>
  </si>
  <si>
    <t>Cash</t>
  </si>
  <si>
    <t>ORD004</t>
  </si>
  <si>
    <t>Sana Khan</t>
  </si>
  <si>
    <t>Kolkata</t>
  </si>
  <si>
    <t>Pending</t>
  </si>
  <si>
    <t>ORD005</t>
  </si>
  <si>
    <t>Karan Gupta</t>
  </si>
  <si>
    <t>Ayesha</t>
  </si>
  <si>
    <t>ORD006</t>
  </si>
  <si>
    <t>Rahul Khan</t>
  </si>
  <si>
    <t>Pen Pack</t>
  </si>
  <si>
    <t>Stationery</t>
  </si>
  <si>
    <t>Cancelled</t>
  </si>
  <si>
    <t>ORD007</t>
  </si>
  <si>
    <t>Desk</t>
  </si>
  <si>
    <t>Furniture</t>
  </si>
  <si>
    <t>ORD008</t>
  </si>
  <si>
    <t>Delhi</t>
  </si>
  <si>
    <t>Backpack</t>
  </si>
  <si>
    <t>Accessories</t>
  </si>
  <si>
    <t>ORD009</t>
  </si>
  <si>
    <t>Vikash Kumar</t>
  </si>
  <si>
    <t>UPI</t>
  </si>
  <si>
    <t>ORD010</t>
  </si>
  <si>
    <t>Amit Sharma</t>
  </si>
  <si>
    <t>Office Chair</t>
  </si>
  <si>
    <t>ORD011</t>
  </si>
  <si>
    <t>ORD012</t>
  </si>
  <si>
    <t>Imran</t>
  </si>
  <si>
    <t>ORD013</t>
  </si>
  <si>
    <t>Riya Das</t>
  </si>
  <si>
    <t>ORD014</t>
  </si>
  <si>
    <t>ORD015</t>
  </si>
  <si>
    <t>Rahul</t>
  </si>
  <si>
    <t>Headphones</t>
  </si>
  <si>
    <t>ORD016</t>
  </si>
  <si>
    <t>ORD017</t>
  </si>
  <si>
    <t>Mumbai</t>
  </si>
  <si>
    <t>ORD018</t>
  </si>
  <si>
    <t>Monitor</t>
  </si>
  <si>
    <t>ORD019</t>
  </si>
  <si>
    <t>Keyboard</t>
  </si>
  <si>
    <t>ORD020</t>
  </si>
  <si>
    <t>Sara Ali</t>
  </si>
  <si>
    <t>ORD021</t>
  </si>
  <si>
    <t>ORD022</t>
  </si>
  <si>
    <t>Notebook</t>
  </si>
  <si>
    <t>ORD023</t>
  </si>
  <si>
    <t>ORD024</t>
  </si>
  <si>
    <t>ORD025</t>
  </si>
  <si>
    <t>ORD026</t>
  </si>
  <si>
    <t>ORD027</t>
  </si>
  <si>
    <t>Imran Ansari</t>
  </si>
  <si>
    <t>Water Bottle</t>
  </si>
  <si>
    <t>ORD028</t>
  </si>
  <si>
    <t>ORD029</t>
  </si>
  <si>
    <t>ORD030</t>
  </si>
  <si>
    <t>ORD031</t>
  </si>
  <si>
    <t>ORD032</t>
  </si>
  <si>
    <t>ORD033</t>
  </si>
  <si>
    <t>ORD034</t>
  </si>
  <si>
    <t>ORD035</t>
  </si>
  <si>
    <t>ORD036</t>
  </si>
  <si>
    <t>ORD037</t>
  </si>
  <si>
    <t>ORD038</t>
  </si>
  <si>
    <t>ORD039</t>
  </si>
  <si>
    <t>ORD040</t>
  </si>
  <si>
    <t>ORD041</t>
  </si>
  <si>
    <t>ORD042</t>
  </si>
  <si>
    <t>USB Drive</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</si>
  <si>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</si>
  <si>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</si>
  <si>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</si>
  <si>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</si>
  <si>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</si>
  <si>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</si>
  <si>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</si>
  <si>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</si>
  <si>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</si>
  <si>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</si>
  <si>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</si>
  <si>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</si>
  <si>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</si>
  <si>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</si>
  <si>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</si>
  <si>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</si>
  <si>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</si>
  <si>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</si>
  <si>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</si>
  <si>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</si>
  <si>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</si>
  <si>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</si>
  <si>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</si>
  <si>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</si>
  <si>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</si>
  <si>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</si>
  <si>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</si>
  <si>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</si>
  <si>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</si>
  <si>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</si>
  <si>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</si>
  <si>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</si>
  <si>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</si>
  <si>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</si>
  <si>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</si>
  <si>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</si>
  <si>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</si>
  <si>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</si>
  <si>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</si>
  <si>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</si>
  <si>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</si>
  <si>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</si>
  <si>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</si>
  <si>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</si>
  <si>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</si>
  <si>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</si>
  <si>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</si>
  <si>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</si>
  <si>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</si>
  <si>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</si>
  <si>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</si>
  <si>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</si>
  <si>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</si>
  <si>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</si>
  <si>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</si>
  <si>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</si>
  <si>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</si>
  <si>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</si>
  <si>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Gross_Sales</t>
  </si>
  <si>
    <t>Net_Sales</t>
  </si>
  <si>
    <t>Retail Sales Summary</t>
  </si>
  <si>
    <t>Total Net Sales</t>
  </si>
  <si>
    <t>Total Orders</t>
  </si>
  <si>
    <t>Average Order Value</t>
  </si>
  <si>
    <t>Net Sales</t>
  </si>
  <si>
    <t>Eletcronics</t>
  </si>
  <si>
    <t>Home</t>
  </si>
  <si>
    <t>Decor</t>
  </si>
  <si>
    <t>Order Status</t>
  </si>
  <si>
    <t>Order Count</t>
  </si>
  <si>
    <t>Row Labels</t>
  </si>
  <si>
    <t>Grand Total</t>
  </si>
  <si>
    <t>Sum of Net_Sales</t>
  </si>
  <si>
    <t>Jan</t>
  </si>
  <si>
    <t>Feb</t>
  </si>
  <si>
    <t>Mar</t>
  </si>
  <si>
    <t>2026</t>
  </si>
  <si>
    <t>RETAIL SALES DASHBOARD</t>
  </si>
  <si>
    <t>Avg Order Value</t>
  </si>
  <si>
    <t>Cancelled Orders</t>
  </si>
  <si>
    <t>Sum of Gross_Sales</t>
  </si>
  <si>
    <t>Key Business Insights</t>
  </si>
  <si>
    <t>TOP CATEGORY</t>
  </si>
  <si>
    <t>ELECTRONICS</t>
  </si>
  <si>
    <t>BEST MONTH</t>
  </si>
  <si>
    <t>FEBURARY</t>
  </si>
  <si>
    <t>BEST CITY</t>
  </si>
  <si>
    <t>BENGALURU</t>
  </si>
  <si>
    <t>CANCELLATIONS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</si>
</sst>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_ [$₹-4009]\ * #,##0.00_ ;_ [$₹-4009]\ * \-#,##0.00_ ;_ [$₹-4009]\ * &quot;-&quot;??_ ;_ @_ "/>
  </numFmts>
  <fonts count="9" x14ac:knownFonts="1">
    <font>
      <sz val="11"/>
      <color theme="1"/>
      <name val="Calibri"/>
      <family val="2"/>
      <scheme val="minor"/>
    </font>
    <font>
      <b/>
      <sz val="11"/>
      <name val="Calibri"/>
    </font>
    <font>
      <sz val="11"/>
      <color theme="1"/>
      <name val="Calibri"/>
      <family val="2"/>
      <scheme val="minor"/>
    </font>
    <font>
      <sz val="11"/>
      <color rgb="FFFF0000"/>
      <name val="Calibri"/>
      <family val="2"/>
      <scheme val="minor"/>
    </font>
    <font>
      <b/>
      <sz val="11"/>
      <color theme="1"/>
      <name val="Calibri"/>
      <family val="2"/>
      <scheme val="minor"/>
    </font>
    <font>
      <b/>
      <sz val="15"/>
      <color theme="1"/>
      <name val="Calibri"/>
      <family val="2"/>
      <scheme val="minor"/>
    </font>
    <font>
      <b/>
      <sz val="14"/>
      <color theme="1"/>
      <name val="Elephant"/>
      <family val="1"/>
    </font>
    <font>
      <b/>
      <sz val="12"/>
      <color theme="1"/>
      <name val="Calibri"/>
      <family val="2"/>
      <scheme val="minor"/>
    </font>
    <font>
      <b/>
      <sz val="14"/>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8"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2" fillId="0" borderId="0" applyFont="0" applyFill="0" applyBorder="0" applyAlignment="0" applyProtection="0"/>
  </cellStyleXfs>
  <cellXfs count="29">
    <xf numFmtId="0" fontId="0" fillId="0" borderId="0" xfId="0"/>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5" fillId="2" borderId="3" xfId="0" applyFont="1" applyFill="1" applyBorder="1" applyAlignment="1">
      <alignment horizontal="center"/>
    </xf>
    <xf numFmtId="0" fontId="5" fillId="2" borderId="4" xfId="0" applyFont="1" applyFill="1" applyBorder="1" applyAlignment="1">
      <alignment horizontal="center"/>
    </xf>
    <xf numFmtId="0" fontId="0" fillId="0" borderId="5" xfId="0" applyBorder="1"/>
    <xf numFmtId="0" fontId="0" fillId="0" borderId="6" xfId="0" applyBorder="1"/>
    <xf numFmtId="169" fontId="0" fillId="3" borderId="6" xfId="0" applyNumberFormat="1" applyFill="1" applyBorder="1"/>
    <xf numFmtId="1" fontId="0" fillId="3" borderId="6" xfId="0" quotePrefix="1" applyNumberFormat="1" applyFill="1" applyBorder="1"/>
    <xf numFmtId="169" fontId="0" fillId="3" borderId="8" xfId="0" applyNumberFormat="1" applyFill="1" applyBorder="1"/>
    <xf numFmtId="0" fontId="3" fillId="0" borderId="5" xfId="0" applyFont="1" applyBorder="1"/>
    <xf numFmtId="0" fontId="3" fillId="0" borderId="7" xfId="0" applyFont="1" applyBorder="1"/>
    <xf numFmtId="0" fontId="4" fillId="2" borderId="3" xfId="0" applyFont="1" applyFill="1" applyBorder="1"/>
    <xf numFmtId="0" fontId="4" fillId="2" borderId="4" xfId="0" applyFont="1" applyFill="1" applyBorder="1"/>
    <xf numFmtId="0" fontId="0" fillId="4" borderId="6" xfId="0" applyFill="1" applyBorder="1"/>
    <xf numFmtId="0" fontId="0" fillId="4" borderId="8" xfId="0" applyFill="1" applyBorder="1"/>
    <xf numFmtId="0" fontId="6" fillId="4" borderId="0" xfId="0" applyFont="1" applyFill="1" applyAlignment="1">
      <alignment horizontal="center"/>
    </xf>
    <xf numFmtId="0" fontId="7" fillId="2" borderId="1" xfId="0" applyFont="1" applyFill="1" applyBorder="1" applyAlignment="1">
      <alignment horizontal="center"/>
    </xf>
    <xf numFmtId="169" fontId="0" fillId="3" borderId="1" xfId="0" applyNumberFormat="1" applyFill="1" applyBorder="1" applyAlignment="1">
      <alignment horizontal="center"/>
    </xf>
    <xf numFmtId="1" fontId="0" fillId="3" borderId="1" xfId="0" quotePrefix="1" applyNumberFormat="1"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9" fontId="0" fillId="6" borderId="1" xfId="1" applyFont="1" applyFill="1" applyBorder="1" applyAlignment="1">
      <alignment horizontal="center"/>
    </xf>
    <xf numFmtId="0" fontId="8" fillId="2" borderId="1" xfId="0" applyFont="1" applyFill="1" applyBorder="1" applyAlignment="1">
      <alignment horizontal="center"/>
    </xf>
  </cellXfs>
  <cellStyles count="2">
    <cellStyle name="Normal" xfId="0" builtinId="0"/>
    <cellStyle name="Percent" xfId="1" builtinId="5"/>
  </cellStyles>
  <dxfs count="6">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[Retail_Sales_Analysis_Project.xlsx]Sheet2!PivotTable1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Net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Accessories</c:v>
                </c:pt>
                <c:pt idx="1">
                  <c:v>Electronics</c:v>
                </c:pt>
                <c:pt idx="2">
                  <c:v>Furniture</c:v>
                </c:pt>
                <c:pt idx="3">
                  <c:v>Home &amp; Decor</c:v>
                </c:pt>
                <c:pt idx="4">
                  <c:v>Stationery</c:v>
                </c:pt>
              </c:strCache>
            </c:strRef>
          </c:cat>
          <c:val>
            <c:numRef>
              <c:f>Sheet2!$B$4:$B$9</c:f>
              <c:numCache>
                <c:formatCode>General</c:formatCode>
                <c:ptCount val="5"/>
                <c:pt idx="0">
                  <c:v>41147</c:v>
                </c:pt>
                <c:pt idx="1">
                  <c:v>522697.875</c:v>
                </c:pt>
                <c:pt idx="2">
                  <c:v>339418.25</c:v>
                </c:pt>
                <c:pt idx="3">
                  <c:v>20504.125</c:v>
                </c:pt>
                <c:pt idx="4">
                  <c:v>3472.2749999999996</c:v>
                </c:pt>
              </c:numCache>
            </c:numRef>
          </c:val>
          <c:extLst>
            <c:ext xmlns:c16="http://schemas.microsoft.com/office/drawing/2014/chart" uri="{C3380CC4-5D6E-409C-BE32-E72D297353CC}">
              <c16:uniqueId val="{00000000-90B3-4E99-9137-E9CD1D238AF9}"/>
            </c:ext>
          </c:extLst>
        </c:ser>
        <c:dLbls>
          <c:dLblPos val="outEnd"/>
          <c:showLegendKey val="0"/>
          <c:showVal val="1"/>
          <c:showCatName val="0"/>
          <c:showSerName val="0"/>
          <c:showPercent val="0"/>
          <c:showBubbleSize val="0"/>
        </c:dLbls>
        <c:gapWidth val="100"/>
        <c:overlap val="-24"/>
        <c:axId val="1851387344"/>
        <c:axId val="1851394064"/>
      </c:barChart>
      <c:catAx>
        <c:axId val="1851387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94064"/>
        <c:crosses val="autoZero"/>
        <c:auto val="1"/>
        <c:lblAlgn val="ctr"/>
        <c:lblOffset val="100"/>
        <c:noMultiLvlLbl val="0"/>
      </c:catAx>
      <c:valAx>
        <c:axId val="185139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8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[Retail_Sales_Analysis_Project.xlsx]Sheet3!PivotTable2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Net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Sheet3!$A$4:$A$8</c:f>
              <c:multiLvlStrCache>
                <c:ptCount val="3"/>
                <c:lvl>
                  <c:pt idx="0">
                    <c:v>Jan</c:v>
                  </c:pt>
                  <c:pt idx="1">
                    <c:v>Feb</c:v>
                  </c:pt>
                  <c:pt idx="2">
                    <c:v>Mar</c:v>
                  </c:pt>
                </c:lvl>
                <c:lvl>
                  <c:pt idx="0">
                    <c:v>2026</c:v>
                  </c:pt>
                </c:lvl>
              </c:multiLvlStrCache>
            </c:multiLvlStrRef>
          </c:cat>
          <c:val>
            <c:numRef>
              <c:f>Sheet3!$B$4:$B$8</c:f>
              <c:numCache>
                <c:formatCode>General</c:formatCode>
                <c:ptCount val="3"/>
                <c:pt idx="0">
                  <c:v>282503.88750000001</c:v>
                </c:pt>
                <c:pt idx="1">
                  <c:v>384592.625</c:v>
                </c:pt>
                <c:pt idx="2">
                  <c:v>260143.01250000001</c:v>
                </c:pt>
              </c:numCache>
            </c:numRef>
          </c:val>
          <c:smooth val="0"/>
          <c:extLst>
            <c:ext xmlns:c16="http://schemas.microsoft.com/office/drawing/2014/chart" uri="{C3380CC4-5D6E-409C-BE32-E72D297353CC}">
              <c16:uniqueId val="{00000000-673E-4286-ABA5-8B764AD8D301}"/>
            </c:ext>
          </c:extLst>
        </c:ser>
        <c:dLbls>
          <c:showLegendKey val="0"/>
          <c:showVal val="0"/>
          <c:showCatName val="0"/>
          <c:showSerName val="0"/>
          <c:showPercent val="0"/>
          <c:showBubbleSize val="0"/>
        </c:dLbls>
        <c:marker val="1"/>
        <c:smooth val="0"/>
        <c:axId val="1938589952"/>
        <c:axId val="1938590912"/>
      </c:lineChart>
      <c:catAx>
        <c:axId val="193858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90912"/>
        <c:crosses val="autoZero"/>
        <c:auto val="1"/>
        <c:lblAlgn val="ctr"/>
        <c:lblOffset val="100"/>
        <c:noMultiLvlLbl val="0"/>
      </c:catAx>
      <c:valAx>
        <c:axId val="193859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[Retail_Sales_Analysis_Project.xlsx]Sheet5!PivotTable3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Net_Sales</c:v>
                </c:pt>
              </c:strCache>
            </c:strRef>
          </c:tx>
          <c:spPr>
            <a:solidFill>
              <a:schemeClr val="accent1"/>
            </a:solidFill>
            <a:ln>
              <a:noFill/>
            </a:ln>
            <a:effectLst/>
          </c:spPr>
          <c:invertIfNegative val="0"/>
          <c:cat>
            <c:strRef>
              <c:f>Sheet5!$A$4:$A$10</c:f>
              <c:strCache>
                <c:ptCount val="6"/>
                <c:pt idx="0">
                  <c:v>Bengaluru</c:v>
                </c:pt>
                <c:pt idx="1">
                  <c:v>Delhi</c:v>
                </c:pt>
                <c:pt idx="2">
                  <c:v>Hyderabad</c:v>
                </c:pt>
                <c:pt idx="3">
                  <c:v>Kolkata</c:v>
                </c:pt>
                <c:pt idx="4">
                  <c:v>Mumbai</c:v>
                </c:pt>
                <c:pt idx="5">
                  <c:v>Ranchi</c:v>
                </c:pt>
              </c:strCache>
            </c:strRef>
          </c:cat>
          <c:val>
            <c:numRef>
              <c:f>Sheet5!$B$4:$B$10</c:f>
              <c:numCache>
                <c:formatCode>General</c:formatCode>
                <c:ptCount val="6"/>
                <c:pt idx="0">
                  <c:v>220984.76250000001</c:v>
                </c:pt>
                <c:pt idx="1">
                  <c:v>204577.875</c:v>
                </c:pt>
                <c:pt idx="2">
                  <c:v>187694.75</c:v>
                </c:pt>
                <c:pt idx="3">
                  <c:v>91621.762499999997</c:v>
                </c:pt>
                <c:pt idx="4">
                  <c:v>132952.875</c:v>
                </c:pt>
                <c:pt idx="5">
                  <c:v>89407.5</c:v>
                </c:pt>
              </c:numCache>
            </c:numRef>
          </c:val>
          <c:extLst>
            <c:ext xmlns:c16="http://schemas.microsoft.com/office/drawing/2014/chart" uri="{C3380CC4-5D6E-409C-BE32-E72D297353CC}">
              <c16:uniqueId val="{00000000-489D-490C-BB3C-B89F840ABEC7}"/>
            </c:ext>
          </c:extLst>
        </c:ser>
        <c:ser>
          <c:idx val="1"/>
          <c:order val="1"/>
          <c:tx>
            <c:strRef>
              <c:f>Sheet5!$C$3</c:f>
              <c:strCache>
                <c:ptCount val="1"/>
                <c:pt idx="0">
                  <c:v>Sum of Gross_Sales</c:v>
                </c:pt>
              </c:strCache>
            </c:strRef>
          </c:tx>
          <c:spPr>
            <a:solidFill>
              <a:schemeClr val="accent2"/>
            </a:solidFill>
            <a:ln>
              <a:noFill/>
            </a:ln>
            <a:effectLst/>
          </c:spPr>
          <c:invertIfNegative val="0"/>
          <c:cat>
            <c:strRef>
              <c:f>Sheet5!$A$4:$A$10</c:f>
              <c:strCache>
                <c:ptCount val="6"/>
                <c:pt idx="0">
                  <c:v>Bengaluru</c:v>
                </c:pt>
                <c:pt idx="1">
                  <c:v>Delhi</c:v>
                </c:pt>
                <c:pt idx="2">
                  <c:v>Hyderabad</c:v>
                </c:pt>
                <c:pt idx="3">
                  <c:v>Kolkata</c:v>
                </c:pt>
                <c:pt idx="4">
                  <c:v>Mumbai</c:v>
                </c:pt>
                <c:pt idx="5">
                  <c:v>Ranchi</c:v>
                </c:pt>
              </c:strCache>
            </c:strRef>
          </c:cat>
          <c:val>
            <c:numRef>
              <c:f>Sheet5!$C$4:$C$10</c:f>
              <c:numCache>
                <c:formatCode>General</c:formatCode>
                <c:ptCount val="6"/>
                <c:pt idx="0">
                  <c:v>249527.75</c:v>
                </c:pt>
                <c:pt idx="1">
                  <c:v>221727.5</c:v>
                </c:pt>
                <c:pt idx="2">
                  <c:v>210417.5</c:v>
                </c:pt>
                <c:pt idx="3">
                  <c:v>100060.75</c:v>
                </c:pt>
                <c:pt idx="4">
                  <c:v>150095</c:v>
                </c:pt>
                <c:pt idx="5">
                  <c:v>98690</c:v>
                </c:pt>
              </c:numCache>
            </c:numRef>
          </c:val>
          <c:extLst>
            <c:ext xmlns:c16="http://schemas.microsoft.com/office/drawing/2014/chart" uri="{C3380CC4-5D6E-409C-BE32-E72D297353CC}">
              <c16:uniqueId val="{00000001-489D-490C-BB3C-B89F840ABEC7}"/>
            </c:ext>
          </c:extLst>
        </c:ser>
        <c:dLbls>
          <c:showLegendKey val="0"/>
          <c:showVal val="0"/>
          <c:showCatName val="0"/>
          <c:showSerName val="0"/>
          <c:showPercent val="0"/>
          <c:showBubbleSize val="0"/>
        </c:dLbls>
        <c:gapWidth val="219"/>
        <c:overlap val="-27"/>
        <c:axId val="1697217712"/>
        <c:axId val="1997879072"/>
      </c:barChart>
      <c:catAx>
        <c:axId val="169721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79072"/>
        <c:crosses val="autoZero"/>
        <c:auto val="1"/>
        <c:lblAlgn val="ctr"/>
        <c:lblOffset val="100"/>
        <c:noMultiLvlLbl val="0"/>
      </c:catAx>
      <c:valAx>
        <c:axId val="19978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[Retail_Sales_Analysis_Project.xlsx]Sheet2!PivotTable1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Net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Accessories</c:v>
                </c:pt>
                <c:pt idx="1">
                  <c:v>Electronics</c:v>
                </c:pt>
                <c:pt idx="2">
                  <c:v>Furniture</c:v>
                </c:pt>
                <c:pt idx="3">
                  <c:v>Home &amp; Decor</c:v>
                </c:pt>
                <c:pt idx="4">
                  <c:v>Stationery</c:v>
                </c:pt>
              </c:strCache>
            </c:strRef>
          </c:cat>
          <c:val>
            <c:numRef>
              <c:f>Sheet2!$B$4:$B$9</c:f>
              <c:numCache>
                <c:formatCode>General</c:formatCode>
                <c:ptCount val="5"/>
                <c:pt idx="0">
                  <c:v>41147</c:v>
                </c:pt>
                <c:pt idx="1">
                  <c:v>522697.875</c:v>
                </c:pt>
                <c:pt idx="2">
                  <c:v>339418.25</c:v>
                </c:pt>
                <c:pt idx="3">
                  <c:v>20504.125</c:v>
                </c:pt>
                <c:pt idx="4">
                  <c:v>3472.2749999999996</c:v>
                </c:pt>
              </c:numCache>
            </c:numRef>
          </c:val>
          <c:extLst>
            <c:ext xmlns:c16="http://schemas.microsoft.com/office/drawing/2014/chart" uri="{C3380CC4-5D6E-409C-BE32-E72D297353CC}">
              <c16:uniqueId val="{00000000-C917-4A2C-A411-14C2EF29C879}"/>
            </c:ext>
          </c:extLst>
        </c:ser>
        <c:dLbls>
          <c:dLblPos val="outEnd"/>
          <c:showLegendKey val="0"/>
          <c:showVal val="1"/>
          <c:showCatName val="0"/>
          <c:showSerName val="0"/>
          <c:showPercent val="0"/>
          <c:showBubbleSize val="0"/>
        </c:dLbls>
        <c:gapWidth val="100"/>
        <c:overlap val="-24"/>
        <c:axId val="1851387344"/>
        <c:axId val="1851394064"/>
      </c:barChart>
      <c:catAx>
        <c:axId val="1851387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94064"/>
        <c:crosses val="autoZero"/>
        <c:auto val="1"/>
        <c:lblAlgn val="ctr"/>
        <c:lblOffset val="100"/>
        <c:noMultiLvlLbl val="0"/>
      </c:catAx>
      <c:valAx>
        <c:axId val="185139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8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[Retail_Sales_Analysis_Project.xlsx]Sheet3!PivotTable2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Net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Sheet3!$A$4:$A$8</c:f>
              <c:multiLvlStrCache>
                <c:ptCount val="3"/>
                <c:lvl>
                  <c:pt idx="0">
                    <c:v>Jan</c:v>
                  </c:pt>
                  <c:pt idx="1">
                    <c:v>Feb</c:v>
                  </c:pt>
                  <c:pt idx="2">
                    <c:v>Mar</c:v>
                  </c:pt>
                </c:lvl>
                <c:lvl>
                  <c:pt idx="0">
                    <c:v>2026</c:v>
                  </c:pt>
                </c:lvl>
              </c:multiLvlStrCache>
            </c:multiLvlStrRef>
          </c:cat>
          <c:val>
            <c:numRef>
              <c:f>Sheet3!$B$4:$B$8</c:f>
              <c:numCache>
                <c:formatCode>General</c:formatCode>
                <c:ptCount val="3"/>
                <c:pt idx="0">
                  <c:v>282503.88750000001</c:v>
                </c:pt>
                <c:pt idx="1">
                  <c:v>384592.625</c:v>
                </c:pt>
                <c:pt idx="2">
                  <c:v>260143.01250000001</c:v>
                </c:pt>
              </c:numCache>
            </c:numRef>
          </c:val>
          <c:smooth val="0"/>
          <c:extLst>
            <c:ext xmlns:c16="http://schemas.microsoft.com/office/drawing/2014/chart" uri="{C3380CC4-5D6E-409C-BE32-E72D297353CC}">
              <c16:uniqueId val="{00000000-0716-4027-8A3C-E33A87385CF5}"/>
            </c:ext>
          </c:extLst>
        </c:ser>
        <c:dLbls>
          <c:showLegendKey val="0"/>
          <c:showVal val="0"/>
          <c:showCatName val="0"/>
          <c:showSerName val="0"/>
          <c:showPercent val="0"/>
          <c:showBubbleSize val="0"/>
        </c:dLbls>
        <c:marker val="1"/>
        <c:smooth val="0"/>
        <c:axId val="1938589952"/>
        <c:axId val="1938590912"/>
      </c:lineChart>
      <c:catAx>
        <c:axId val="193858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90912"/>
        <c:crosses val="autoZero"/>
        <c:auto val="1"/>
        <c:lblAlgn val="ctr"/>
        <c:lblOffset val="100"/>
        <c:noMultiLvlLbl val="0"/>
      </c:catAx>
      <c:valAx>
        <c:axId val="193859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[Retail_Sales_Analysis_Project.xlsx]Sheet5!PivotTable3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Net_Sales</c:v>
                </c:pt>
              </c:strCache>
            </c:strRef>
          </c:tx>
          <c:spPr>
            <a:solidFill>
              <a:schemeClr val="accent1"/>
            </a:solidFill>
            <a:ln>
              <a:noFill/>
            </a:ln>
            <a:effectLst/>
          </c:spPr>
          <c:invertIfNegative val="0"/>
          <c:cat>
            <c:strRef>
              <c:f>Sheet5!$A$4:$A$10</c:f>
              <c:strCache>
                <c:ptCount val="6"/>
                <c:pt idx="0">
                  <c:v>Bengaluru</c:v>
                </c:pt>
                <c:pt idx="1">
                  <c:v>Delhi</c:v>
                </c:pt>
                <c:pt idx="2">
                  <c:v>Hyderabad</c:v>
                </c:pt>
                <c:pt idx="3">
                  <c:v>Kolkata</c:v>
                </c:pt>
                <c:pt idx="4">
                  <c:v>Mumbai</c:v>
                </c:pt>
                <c:pt idx="5">
                  <c:v>Ranchi</c:v>
                </c:pt>
              </c:strCache>
            </c:strRef>
          </c:cat>
          <c:val>
            <c:numRef>
              <c:f>Sheet5!$B$4:$B$10</c:f>
              <c:numCache>
                <c:formatCode>General</c:formatCode>
                <c:ptCount val="6"/>
                <c:pt idx="0">
                  <c:v>220984.76250000001</c:v>
                </c:pt>
                <c:pt idx="1">
                  <c:v>204577.875</c:v>
                </c:pt>
                <c:pt idx="2">
                  <c:v>187694.75</c:v>
                </c:pt>
                <c:pt idx="3">
                  <c:v>91621.762499999997</c:v>
                </c:pt>
                <c:pt idx="4">
                  <c:v>132952.875</c:v>
                </c:pt>
                <c:pt idx="5">
                  <c:v>89407.5</c:v>
                </c:pt>
              </c:numCache>
            </c:numRef>
          </c:val>
          <c:extLst>
            <c:ext xmlns:c16="http://schemas.microsoft.com/office/drawing/2014/chart" uri="{C3380CC4-5D6E-409C-BE32-E72D297353CC}">
              <c16:uniqueId val="{00000000-47F2-40E8-AE94-511BC3DBEBF0}"/>
            </c:ext>
          </c:extLst>
        </c:ser>
        <c:ser>
          <c:idx val="1"/>
          <c:order val="1"/>
          <c:tx>
            <c:strRef>
              <c:f>Sheet5!$C$3</c:f>
              <c:strCache>
                <c:ptCount val="1"/>
                <c:pt idx="0">
                  <c:v>Sum of Gross_Sales</c:v>
                </c:pt>
              </c:strCache>
            </c:strRef>
          </c:tx>
          <c:spPr>
            <a:solidFill>
              <a:schemeClr val="accent2"/>
            </a:solidFill>
            <a:ln>
              <a:noFill/>
            </a:ln>
            <a:effectLst/>
          </c:spPr>
          <c:invertIfNegative val="0"/>
          <c:cat>
            <c:strRef>
              <c:f>Sheet5!$A$4:$A$10</c:f>
              <c:strCache>
                <c:ptCount val="6"/>
                <c:pt idx="0">
                  <c:v>Bengaluru</c:v>
                </c:pt>
                <c:pt idx="1">
                  <c:v>Delhi</c:v>
                </c:pt>
                <c:pt idx="2">
                  <c:v>Hyderabad</c:v>
                </c:pt>
                <c:pt idx="3">
                  <c:v>Kolkata</c:v>
                </c:pt>
                <c:pt idx="4">
                  <c:v>Mumbai</c:v>
                </c:pt>
                <c:pt idx="5">
                  <c:v>Ranchi</c:v>
                </c:pt>
              </c:strCache>
            </c:strRef>
          </c:cat>
          <c:val>
            <c:numRef>
              <c:f>Sheet5!$C$4:$C$10</c:f>
              <c:numCache>
                <c:formatCode>General</c:formatCode>
                <c:ptCount val="6"/>
                <c:pt idx="0">
                  <c:v>249527.75</c:v>
                </c:pt>
                <c:pt idx="1">
                  <c:v>221727.5</c:v>
                </c:pt>
                <c:pt idx="2">
                  <c:v>210417.5</c:v>
                </c:pt>
                <c:pt idx="3">
                  <c:v>100060.75</c:v>
                </c:pt>
                <c:pt idx="4">
                  <c:v>150095</c:v>
                </c:pt>
                <c:pt idx="5">
                  <c:v>98690</c:v>
                </c:pt>
              </c:numCache>
            </c:numRef>
          </c:val>
          <c:extLst>
            <c:ext xmlns:c16="http://schemas.microsoft.com/office/drawing/2014/chart" uri="{C3380CC4-5D6E-409C-BE32-E72D297353CC}">
              <c16:uniqueId val="{00000001-47F2-40E8-AE94-511BC3DBEBF0}"/>
            </c:ext>
          </c:extLst>
        </c:ser>
        <c:dLbls>
          <c:showLegendKey val="0"/>
          <c:showVal val="0"/>
          <c:showCatName val="0"/>
          <c:showSerName val="0"/>
          <c:showPercent val="0"/>
          <c:showBubbleSize val="0"/>
        </c:dLbls>
        <c:gapWidth val="219"/>
        <c:overlap val="-27"/>
        <c:axId val="1697217712"/>
        <c:axId val="1997879072"/>
      </c:barChart>
      <c:catAx>
        <c:axId val="169721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79072"/>
        <c:crosses val="autoZero"/>
        <c:auto val="1"/>
        <c:lblAlgn val="ctr"/>
        <c:lblOffset val="100"/>
        <c:noMultiLvlLbl val="0"/>
      </c:catAx>
      <c:valAx>
        <c:axId val="19978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243846</xdr:colOff>
      <xdr:row>0</xdr:row>
      <xdr:rowOff>64770</xdr:rowOff>
    </xdr:from>
    <xdr:to>
      <xdr:col>9</xdr:col>
      <xdr:colOff>548646</xdr:colOff>
      <xdr:row>15</xdr:row>
      <xdr:rowOff>64770</xdr:rowOff>
    </xdr:to>
    <xdr:graphicFrame macro="">
      <xdr:nvGraphicFramePr>
        <xdr:cNvPr id="2" name="Chart 1">
          <a:extLst>
            <a:ext uri="{FF2B5EF4-FFF2-40B4-BE49-F238E27FC236}">
              <a16:creationId xmlns:a16="http://schemas.microsoft.com/office/drawing/2014/main" id="{841B2E57-9212-FE2B-FDA6-D0E314CD3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99066</xdr:colOff>
      <xdr:row>1</xdr:row>
      <xdr:rowOff>179070</xdr:rowOff>
    </xdr:from>
    <xdr:to>
      <xdr:col>9</xdr:col>
      <xdr:colOff>403866</xdr:colOff>
      <xdr:row>16</xdr:row>
      <xdr:rowOff>179070</xdr:rowOff>
    </xdr:to>
    <xdr:graphicFrame macro="">
      <xdr:nvGraphicFramePr>
        <xdr:cNvPr id="2" name="Chart 1">
          <a:extLst>
            <a:ext uri="{FF2B5EF4-FFF2-40B4-BE49-F238E27FC236}">
              <a16:creationId xmlns:a16="http://schemas.microsoft.com/office/drawing/2014/main" id="{2FB3E47D-7135-BC34-110F-3F4531606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213366</xdr:colOff>
      <xdr:row>21</xdr:row>
      <xdr:rowOff>34290</xdr:rowOff>
    </xdr:to>
    <xdr:graphicFrame macro="">
      <xdr:nvGraphicFramePr>
        <xdr:cNvPr id="2" name="Chart 1">
          <a:extLst>
            <a:ext uri="{FF2B5EF4-FFF2-40B4-BE49-F238E27FC236}">
              <a16:creationId xmlns:a16="http://schemas.microsoft.com/office/drawing/2014/main" id="{6CE5B816-2BEF-61C1-71AF-82223F78F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313929</xdr:colOff>
      <xdr:row>7</xdr:row>
      <xdr:rowOff>71995</xdr:rowOff>
    </xdr:from>
    <xdr:to>
      <xdr:col>6</xdr:col>
      <xdr:colOff>394447</xdr:colOff>
      <xdr:row>20</xdr:row>
      <xdr:rowOff>17929</xdr:rowOff>
    </xdr:to>
    <xdr:graphicFrame macro="">
      <xdr:nvGraphicFramePr>
        <xdr:cNvPr id="2" name="Chart 1">
          <a:extLst>
            <a:ext uri="{FF2B5EF4-FFF2-40B4-BE49-F238E27FC236}">
              <a16:creationId xmlns:a16="http://schemas.microsoft.com/office/drawing/2014/main" id="{EB194A92-3333-416F-8411-2815252A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516364</xdr:colOff>
      <xdr:row>7</xdr:row>
      <xdr:rowOff>58600</xdr:rowOff>
    </xdr:from>
    <xdr:to>
      <xdr:col>12</xdr:col>
      <xdr:colOff>313765</xdr:colOff>
      <xdr:row>20</xdr:row>
      <xdr:rowOff>20462</xdr:rowOff>
    </xdr:to>
    <xdr:graphicFrame macro="">
      <xdr:nvGraphicFramePr>
        <xdr:cNvPr id="3" name="Chart 2">
          <a:extLst>
            <a:ext uri="{FF2B5EF4-FFF2-40B4-BE49-F238E27FC236}">
              <a16:creationId xmlns:a16="http://schemas.microsoft.com/office/drawing/2014/main" id="{901B3F06-1BF6-4F40-B60B-A5A1C07F7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459510</xdr:colOff>
      <xdr:row>20</xdr:row>
      <xdr:rowOff>46009</xdr:rowOff>
    </xdr:from>
    <xdr:to>
      <xdr:col>9</xdr:col>
      <xdr:colOff>605682</xdr:colOff>
      <xdr:row>34</xdr:row>
      <xdr:rowOff>125456</xdr:rowOff>
    </xdr:to>
    <xdr:graphicFrame macro="">
      <xdr:nvGraphicFramePr>
        <xdr:cNvPr id="4" name="Chart 3">
          <a:extLst>
            <a:ext uri="{FF2B5EF4-FFF2-40B4-BE49-F238E27FC236}">
              <a16:creationId xmlns:a16="http://schemas.microsoft.com/office/drawing/2014/main" id="{5D6866B7-2FD0-43F9-ABD9-D27098657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58615</xdr:colOff>
      <xdr:row>20</xdr:row>
      <xdr:rowOff>120899</xdr:rowOff>
    </xdr:from>
    <xdr:to>
      <xdr:col>2</xdr:col>
      <xdr:colOff>381000</xdr:colOff>
      <xdr:row>34</xdr:row>
      <xdr:rowOff>4275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43E9BBD3-7BFF-938E-3A6C-CC69A3324D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615" y="3828541"/>
              <a:ext cx="1550684" cy="2430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148090</xdr:colOff>
      <xdr:row>20</xdr:row>
      <xdr:rowOff>147947</xdr:rowOff>
    </xdr:from>
    <xdr:to>
      <xdr:col>13</xdr:col>
      <xdr:colOff>145709</xdr:colOff>
      <xdr:row>34</xdr:row>
      <xdr:rowOff>44712</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2CA3D829-D52C-FE55-487C-CCBF006419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494299" y="3855589"/>
              <a:ext cx="1840067" cy="2444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493820</xdr:colOff>
      <xdr:row>7</xdr:row>
      <xdr:rowOff>75676</xdr:rowOff>
    </xdr:from>
    <xdr:to>
      <xdr:col>15</xdr:col>
      <xdr:colOff>14654</xdr:colOff>
      <xdr:row>20</xdr:row>
      <xdr:rowOff>164333</xdr:rowOff>
    </xdr:to>
    <mc:AlternateContent xmlns:mc="http://schemas.openxmlformats.org/markup-compatibility/2006">
      <mc:Choice xmlns:a14="http://schemas.microsoft.com/office/drawing/2010/main" Requires="a14">
        <xdr:graphicFrame macro="">
          <xdr:nvGraphicFramePr>
            <xdr:cNvPr id="12" name="Months (Order_Date)">
              <a:extLst>
                <a:ext uri="{FF2B5EF4-FFF2-40B4-BE49-F238E27FC236}">
                  <a16:creationId xmlns:a16="http://schemas.microsoft.com/office/drawing/2014/main" id="{6ABD25F1-6821-585A-2FEF-CEC74E7B497C}"/>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8068327" y="1417706"/>
              <a:ext cx="1363282" cy="2454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bir Anas" refreshedDate="46317.549863541666" createdVersion="8" refreshedVersion="8" minRefreshableVersion="3" recordCount="100" xr:uid="{C38E0938-6C6E-49CC-BCE5-EA715329FF23}">
  <cacheSource type="worksheet">
    <worksheetSource name="SalesTable"/>
  </cacheSource>
  <cacheFields count="16">
    <cacheField name="Order_ID" numFmtId="0">
      <sharedItems/>
    </cacheField>
    <cacheField name="Order_Date" numFmtId="164">
      <sharedItems containsSemiMixedTypes="0" containsNonDate="0" containsDate="1" containsString="0" minDate="2026-01-01T00:00:00" maxDate="2026-03-31T00:00:00" count="60">
        <d v="2026-02-16T00:00:00"/>
        <d v="2026-02-23T00:00:00"/>
        <d v="2026-01-26T00:00:00"/>
        <d v="2026-02-09T00:00:00"/>
        <d v="2026-02-25T00:00:00"/>
        <d v="2026-02-21T00:00:00"/>
        <d v="2026-01-09T00:00:00"/>
        <d v="2026-02-10T00:00:00"/>
        <d v="2026-01-03T00:00:00"/>
        <d v="2026-03-04T00:00:00"/>
        <d v="2026-01-10T00:00:00"/>
        <d v="2026-02-07T00:00:00"/>
        <d v="2026-01-07T00:00:00"/>
        <d v="2026-01-28T00:00:00"/>
        <d v="2026-03-15T00:00:00"/>
        <d v="2026-01-02T00:00:00"/>
        <d v="2026-02-04T00:00:00"/>
        <d v="2026-03-20T00:00:00"/>
        <d v="2026-01-08T00:00:00"/>
        <d v="2026-02-12T00:00:00"/>
        <d v="2026-01-22T00:00:00"/>
        <d v="2026-01-20T00:00:00"/>
        <d v="2026-03-05T00:00:00"/>
        <d v="2026-02-13T00:00:00"/>
        <d v="2026-02-18T00:00:00"/>
        <d v="2026-02-15T00:00:00"/>
        <d v="2026-02-28T00:00:00"/>
        <d v="2026-01-17T00:00:00"/>
        <d v="2026-02-11T00:00:00"/>
        <d v="2026-01-13T00:00:00"/>
        <d v="2026-01-19T00:00:00"/>
        <d v="2026-03-24T00:00:00"/>
        <d v="2026-02-17T00:00:00"/>
        <d v="2026-02-14T00:00:00"/>
        <d v="2026-03-28T00:00:00"/>
        <d v="2026-03-17T00:00:00"/>
        <d v="2026-03-19T00:00:00"/>
        <d v="2026-01-29T00:00:00"/>
        <d v="2026-03-09T00:00:00"/>
        <d v="2026-01-16T00:00:00"/>
        <d v="2026-03-10T00:00:00"/>
        <d v="2026-03-16T00:00:00"/>
        <d v="2026-01-15T00:00:00"/>
        <d v="2026-01-23T00:00:00"/>
        <d v="2026-02-03T00:00:00"/>
        <d v="2026-01-14T00:00:00"/>
        <d v="2026-03-08T00:00:00"/>
        <d v="2026-01-12T00:00:00"/>
        <d v="2026-02-06T00:00:00"/>
        <d v="2026-03-30T00:00:00"/>
        <d v="2026-03-25T00:00:00"/>
        <d v="2026-01-01T00:00:00"/>
        <d v="2026-03-07T00:00:00"/>
        <d v="2026-02-20T00:00:00"/>
        <d v="2026-01-04T00:00:00"/>
        <d v="2026-01-11T00:00:00"/>
        <d v="2026-01-31T00:00:00"/>
        <d v="2026-03-29T00:00:00"/>
        <d v="2026-02-02T00:00:00"/>
        <d v="2026-03-02T00:00:00"/>
      </sharedItems>
      <fieldGroup par="15"/>
    </cacheField>
    <cacheField name="Customer_Name" numFmtId="0">
      <sharedItems/>
    </cacheField>
    <cacheField name="City" numFmtId="0">
      <sharedItems count="6">
        <s v="Ranchi"/>
        <s v="Bengaluru"/>
        <s v="Hyderabad"/>
        <s v="Kolkata"/>
        <s v="Delhi"/>
        <s v="Mumbai"/>
      </sharedItems>
    </cacheField>
    <cacheField name="Salesperson" numFmtId="0">
      <sharedItems/>
    </cacheField>
    <cacheField name="Product" numFmtId="0">
      <sharedItems/>
    </cacheField>
    <cacheField name="Category" numFmtId="0">
      <sharedItems count="5">
        <s v="Home &amp; Decor"/>
        <s v="Electronics"/>
        <s v="Stationery"/>
        <s v="Furniture"/>
        <s v="Accessories"/>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61.75" maxValue="54600"/>
    </cacheField>
    <cacheField name="Discount_Percent" numFmtId="0">
      <sharedItems containsSemiMixedTypes="0" containsString="0" containsNumber="1" containsInteger="1" minValue="0" maxValue="20"/>
    </cacheField>
    <cacheField name="Payment_Mode" numFmtId="0">
      <sharedItems/>
    </cacheField>
    <cacheField name="Order_Status" numFmtId="0">
      <sharedItems/>
    </cacheField>
    <cacheField name="Gross_Sales" numFmtId="0">
      <sharedItems containsSemiMixedTypes="0" containsString="0" containsNumber="1" minValue="68.25" maxValue="98800" count="65">
        <n v="3400"/>
        <n v="54600"/>
        <n v="850"/>
        <n v="807.5"/>
        <n v="2422.5"/>
        <n v="285"/>
        <n v="12500"/>
        <n v="4800"/>
        <n v="52000"/>
        <n v="23370"/>
        <n v="400"/>
        <n v="2550"/>
        <n v="6720"/>
        <n v="9240"/>
        <n v="13125"/>
        <n v="25000"/>
        <n v="11500"/>
        <n v="4620"/>
        <n v="11875"/>
        <n v="23000"/>
        <n v="68.25"/>
        <n v="26250"/>
        <n v="23750"/>
        <n v="2200"/>
        <n v="800"/>
        <n v="3300"/>
        <n v="8200"/>
        <n v="195"/>
        <n v="6930"/>
        <n v="49400"/>
        <n v="210"/>
        <n v="6080"/>
        <n v="380"/>
        <n v="300"/>
        <n v="24150"/>
        <n v="4400"/>
        <n v="24600"/>
        <n v="1852.5"/>
        <n v="2090"/>
        <n v="2470"/>
        <n v="4560"/>
        <n v="98800"/>
        <n v="21850"/>
        <n v="8800"/>
        <n v="247"/>
        <n v="1680"/>
        <n v="16400"/>
        <n v="200"/>
        <n v="315"/>
        <n v="1700"/>
        <n v="260"/>
        <n v="1950"/>
        <n v="2310"/>
        <n v="3465"/>
        <n v="4180"/>
        <n v="32800"/>
        <n v="1140"/>
        <n v="2677.5"/>
        <n v="5040"/>
        <n v="840"/>
        <n v="1600"/>
        <n v="1260"/>
        <n v="650"/>
        <n v="6600"/>
        <n v="7790"/>
      </sharedItems>
    </cacheField>
    <cacheField name="Net_Sales" numFmtId="0">
      <sharedItems containsSemiMixedTypes="0" containsString="0" containsNumber="1" minValue="58.012499999999996" maxValue="88920" count="88">
        <n v="2720"/>
        <n v="43680"/>
        <n v="722.5"/>
        <n v="726.75"/>
        <n v="1938"/>
        <n v="285"/>
        <n v="10625"/>
        <n v="4080"/>
        <n v="46800"/>
        <n v="19864.5"/>
        <n v="400"/>
        <n v="2550"/>
        <n v="5376"/>
        <n v="2167.5"/>
        <n v="8316"/>
        <n v="11156.25"/>
        <n v="22500"/>
        <n v="10350"/>
        <n v="4620"/>
        <n v="9500"/>
        <n v="20700"/>
        <n v="58.012499999999996"/>
        <n v="26250"/>
        <n v="21375"/>
        <n v="23000"/>
        <n v="1870"/>
        <n v="720"/>
        <n v="10925"/>
        <n v="3135"/>
        <n v="23750"/>
        <n v="8200"/>
        <n v="185.25"/>
        <n v="6237"/>
        <n v="41990"/>
        <n v="168"/>
        <n v="5168"/>
        <n v="380"/>
        <n v="270"/>
        <n v="22942.5"/>
        <n v="3960"/>
        <n v="20910"/>
        <n v="1759.875"/>
        <n v="767.125"/>
        <n v="2090"/>
        <n v="2470"/>
        <n v="4104"/>
        <n v="4320"/>
        <n v="88920"/>
        <n v="18400"/>
        <n v="4332"/>
        <n v="17480"/>
        <n v="8360"/>
        <n v="1980"/>
        <n v="247"/>
        <n v="1512"/>
        <n v="304"/>
        <n v="15580"/>
        <n v="8800"/>
        <n v="170"/>
        <n v="315"/>
        <n v="1530"/>
        <n v="260"/>
        <n v="11500"/>
        <n v="11250"/>
        <n v="3696"/>
        <n v="1852.5"/>
        <n v="1963.5"/>
        <n v="3465"/>
        <n v="361"/>
        <n v="1344"/>
        <n v="2422.5"/>
        <n v="3971"/>
        <n v="24600"/>
        <n v="27880"/>
        <n v="1140"/>
        <n v="2409.75"/>
        <n v="4536"/>
        <n v="840"/>
        <n v="11875"/>
        <n v="1520"/>
        <n v="1071"/>
        <n v="3740"/>
        <n v="617.5"/>
        <n v="22562.5"/>
        <n v="6600"/>
        <n v="44200"/>
        <n v="7790"/>
        <n v="3762"/>
      </sharedItems>
    </cacheField>
    <cacheField name="Months (Order_Date)" numFmtId="0" databaseField="0">
      <fieldGroup base="1">
        <rangePr groupBy="months" startDate="2026-01-01T00:00:00" endDate="2026-03-31T00:00:00"/>
        <groupItems count="14">
          <s v="&lt;01-01-2026"/>
          <s v="Jan"/>
          <s v="Feb"/>
          <s v="Mar"/>
          <s v="Apr"/>
          <s v="May"/>
          <s v="Jun"/>
          <s v="Jul"/>
          <s v="Aug"/>
          <s v="Sep"/>
          <s v="Oct"/>
          <s v="Nov"/>
          <s v="Dec"/>
          <s v="&gt;31-03-2026"/>
        </groupItems>
      </fieldGroup>
    </cacheField>
    <cacheField name="Years (Order_Date)" numFmtId="0" databaseField="0">
      <fieldGroup base="1">
        <rangePr groupBy="years" startDate="2026-01-01T00:00:00" endDate="2026-03-31T00:00:00"/>
        <groupItems count="3">
          <s v="&lt;01-01-2026"/>
          <s v="2026"/>
          <s v="&gt;31-03-2026"/>
        </groupItems>
      </fieldGroup>
    </cacheField>
  </cacheFields>
  <extLst>
    <ext xmlns:x14="http://schemas.microsoft.com/office/spreadsheetml/2009/9/main" uri="{725AE2AE-9491-48be-B2B4-4EB974FC3084}">
      <x14:pivotCacheDefinition pivotCacheId="1192184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s v="Ananya Roy"/>
    <x v="0"/>
    <s v="Arjun"/>
    <s v="Desk Lamp"/>
    <x v="0"/>
    <n v="4"/>
    <n v="850"/>
    <n v="20"/>
    <s v="Credit Card"/>
    <s v="Delivered"/>
    <x v="0"/>
    <x v="0"/>
  </r>
  <r>
    <s v="ORD002"/>
    <x v="1"/>
    <s v="Ananya Roy"/>
    <x v="1"/>
    <s v="Priya"/>
    <s v="Laptop"/>
    <x v="1"/>
    <n v="1"/>
    <n v="54600"/>
    <n v="20"/>
    <s v="Debit Card"/>
    <s v="Delivered"/>
    <x v="1"/>
    <x v="1"/>
  </r>
  <r>
    <s v="ORD003"/>
    <x v="2"/>
    <s v="Priya Singh"/>
    <x v="2"/>
    <s v="Neha"/>
    <s v="Desk Lamp"/>
    <x v="0"/>
    <n v="1"/>
    <n v="850"/>
    <n v="15"/>
    <s v="Cash"/>
    <s v="Delivered"/>
    <x v="2"/>
    <x v="2"/>
  </r>
  <r>
    <s v="ORD004"/>
    <x v="3"/>
    <s v="Sana Khan"/>
    <x v="3"/>
    <s v="Neha"/>
    <s v="Desk Lamp"/>
    <x v="0"/>
    <n v="1"/>
    <n v="807.5"/>
    <n v="10"/>
    <s v="Cash"/>
    <s v="Pending"/>
    <x v="3"/>
    <x v="3"/>
  </r>
  <r>
    <s v="ORD005"/>
    <x v="4"/>
    <s v="Karan Gupta"/>
    <x v="1"/>
    <s v="Ayesha"/>
    <s v="Desk Lamp"/>
    <x v="0"/>
    <n v="3"/>
    <n v="807.5"/>
    <n v="20"/>
    <s v="Credit Card"/>
    <s v="Delivered"/>
    <x v="4"/>
    <x v="4"/>
  </r>
  <r>
    <s v="ORD006"/>
    <x v="5"/>
    <s v="Rahul Khan"/>
    <x v="3"/>
    <s v="Neha"/>
    <s v="Pen Pack"/>
    <x v="2"/>
    <n v="3"/>
    <n v="95"/>
    <n v="0"/>
    <s v="Cash"/>
    <s v="Cancelled"/>
    <x v="5"/>
    <x v="5"/>
  </r>
  <r>
    <s v="ORD007"/>
    <x v="6"/>
    <s v="Ananya Roy"/>
    <x v="0"/>
    <s v="Arjun"/>
    <s v="Desk"/>
    <x v="3"/>
    <n v="1"/>
    <n v="12500"/>
    <n v="15"/>
    <s v="Cash"/>
    <s v="Delivered"/>
    <x v="6"/>
    <x v="6"/>
  </r>
  <r>
    <s v="ORD008"/>
    <x v="7"/>
    <s v="Priya Singh"/>
    <x v="4"/>
    <s v="Ayesha"/>
    <s v="Backpack"/>
    <x v="4"/>
    <n v="3"/>
    <n v="1600"/>
    <n v="15"/>
    <s v="Credit Card"/>
    <s v="Delivered"/>
    <x v="7"/>
    <x v="7"/>
  </r>
  <r>
    <s v="ORD009"/>
    <x v="8"/>
    <s v="Vikash Kumar"/>
    <x v="2"/>
    <s v="Priya"/>
    <s v="Laptop"/>
    <x v="1"/>
    <n v="1"/>
    <n v="52000"/>
    <n v="10"/>
    <s v="UPI"/>
    <s v="Delivered"/>
    <x v="8"/>
    <x v="8"/>
  </r>
  <r>
    <s v="ORD010"/>
    <x v="9"/>
    <s v="Amit Sharma"/>
    <x v="1"/>
    <s v="Neha"/>
    <s v="Office Chair"/>
    <x v="3"/>
    <n v="3"/>
    <n v="7790"/>
    <n v="15"/>
    <s v="Cash"/>
    <s v="Pending"/>
    <x v="9"/>
    <x v="9"/>
  </r>
  <r>
    <s v="ORD011"/>
    <x v="2"/>
    <s v="Ananya Roy"/>
    <x v="0"/>
    <s v="Arjun"/>
    <s v="Pen Pack"/>
    <x v="2"/>
    <n v="4"/>
    <n v="100"/>
    <n v="0"/>
    <s v="Cash"/>
    <s v="Delivered"/>
    <x v="10"/>
    <x v="10"/>
  </r>
  <r>
    <s v="ORD012"/>
    <x v="7"/>
    <s v="Amit Sharma"/>
    <x v="0"/>
    <s v="Imran"/>
    <s v="Desk Lamp"/>
    <x v="0"/>
    <n v="3"/>
    <n v="850"/>
    <n v="0"/>
    <s v="Credit Card"/>
    <s v="Delivered"/>
    <x v="11"/>
    <x v="11"/>
  </r>
  <r>
    <s v="ORD013"/>
    <x v="10"/>
    <s v="Riya Das"/>
    <x v="3"/>
    <s v="Neha"/>
    <s v="Backpack"/>
    <x v="4"/>
    <n v="4"/>
    <n v="1680"/>
    <n v="20"/>
    <s v="Cash"/>
    <s v="Delivered"/>
    <x v="12"/>
    <x v="12"/>
  </r>
  <r>
    <s v="ORD014"/>
    <x v="11"/>
    <s v="Amit Sharma"/>
    <x v="2"/>
    <s v="Imran"/>
    <s v="Desk Lamp"/>
    <x v="0"/>
    <n v="3"/>
    <n v="850"/>
    <n v="15"/>
    <s v="Debit Card"/>
    <s v="Pending"/>
    <x v="11"/>
    <x v="13"/>
  </r>
  <r>
    <s v="ORD015"/>
    <x v="10"/>
    <s v="Vikash Kumar"/>
    <x v="0"/>
    <s v="Rahul"/>
    <s v="Headphones"/>
    <x v="1"/>
    <n v="4"/>
    <n v="2310"/>
    <n v="10"/>
    <s v="Credit Card"/>
    <s v="Delivered"/>
    <x v="13"/>
    <x v="14"/>
  </r>
  <r>
    <s v="ORD016"/>
    <x v="12"/>
    <s v="Karan Gupta"/>
    <x v="1"/>
    <s v="Rahul"/>
    <s v="Desk"/>
    <x v="3"/>
    <n v="1"/>
    <n v="13125"/>
    <n v="15"/>
    <s v="Cash"/>
    <s v="Cancelled"/>
    <x v="14"/>
    <x v="15"/>
  </r>
  <r>
    <s v="ORD017"/>
    <x v="13"/>
    <s v="Ananya Roy"/>
    <x v="5"/>
    <s v="Priya"/>
    <s v="Desk"/>
    <x v="3"/>
    <n v="2"/>
    <n v="12500"/>
    <n v="10"/>
    <s v="UPI"/>
    <s v="Cancelled"/>
    <x v="15"/>
    <x v="16"/>
  </r>
  <r>
    <s v="ORD018"/>
    <x v="14"/>
    <s v="Riya Das"/>
    <x v="0"/>
    <s v="Imran"/>
    <s v="Monitor"/>
    <x v="1"/>
    <n v="1"/>
    <n v="11500"/>
    <n v="10"/>
    <s v="Debit Card"/>
    <s v="Cancelled"/>
    <x v="16"/>
    <x v="17"/>
  </r>
  <r>
    <s v="ORD019"/>
    <x v="15"/>
    <s v="Ananya Roy"/>
    <x v="4"/>
    <s v="Rahul"/>
    <s v="Keyboard"/>
    <x v="1"/>
    <n v="4"/>
    <n v="1155"/>
    <n v="0"/>
    <s v="Debit Card"/>
    <s v="Delivered"/>
    <x v="17"/>
    <x v="18"/>
  </r>
  <r>
    <s v="ORD020"/>
    <x v="16"/>
    <s v="Sara Ali"/>
    <x v="1"/>
    <s v="Arjun"/>
    <s v="Desk"/>
    <x v="3"/>
    <n v="1"/>
    <n v="11875"/>
    <n v="20"/>
    <s v="UPI"/>
    <s v="Delivered"/>
    <x v="18"/>
    <x v="19"/>
  </r>
  <r>
    <s v="ORD021"/>
    <x v="17"/>
    <s v="Rahul Khan"/>
    <x v="3"/>
    <s v="Ayesha"/>
    <s v="Monitor"/>
    <x v="1"/>
    <n v="2"/>
    <n v="11500"/>
    <n v="10"/>
    <s v="Cash"/>
    <s v="Delivered"/>
    <x v="19"/>
    <x v="20"/>
  </r>
  <r>
    <s v="ORD022"/>
    <x v="18"/>
    <s v="Riya Das"/>
    <x v="3"/>
    <s v="Rahul"/>
    <s v="Notebook"/>
    <x v="2"/>
    <n v="1"/>
    <n v="68.25"/>
    <n v="15"/>
    <s v="Credit Card"/>
    <s v="Delivered"/>
    <x v="20"/>
    <x v="21"/>
  </r>
  <r>
    <s v="ORD023"/>
    <x v="5"/>
    <s v="Amit Sharma"/>
    <x v="1"/>
    <s v="Priya"/>
    <s v="Desk"/>
    <x v="3"/>
    <n v="2"/>
    <n v="13125"/>
    <n v="0"/>
    <s v="UPI"/>
    <s v="Delivered"/>
    <x v="21"/>
    <x v="22"/>
  </r>
  <r>
    <s v="ORD024"/>
    <x v="19"/>
    <s v="Priya Singh"/>
    <x v="1"/>
    <s v="Rahul"/>
    <s v="Desk"/>
    <x v="3"/>
    <n v="2"/>
    <n v="11875"/>
    <n v="10"/>
    <s v="Credit Card"/>
    <s v="Pending"/>
    <x v="22"/>
    <x v="23"/>
  </r>
  <r>
    <s v="ORD025"/>
    <x v="10"/>
    <s v="Sana Khan"/>
    <x v="4"/>
    <s v="Arjun"/>
    <s v="Monitor"/>
    <x v="1"/>
    <n v="2"/>
    <n v="11500"/>
    <n v="0"/>
    <s v="Debit Card"/>
    <s v="Delivered"/>
    <x v="19"/>
    <x v="24"/>
  </r>
  <r>
    <s v="ORD026"/>
    <x v="11"/>
    <s v="Sara Ali"/>
    <x v="5"/>
    <s v="Imran"/>
    <s v="Keyboard"/>
    <x v="1"/>
    <n v="2"/>
    <n v="1100"/>
    <n v="15"/>
    <s v="Debit Card"/>
    <s v="Cancelled"/>
    <x v="23"/>
    <x v="25"/>
  </r>
  <r>
    <s v="ORD027"/>
    <x v="20"/>
    <s v="Imran Ansari"/>
    <x v="1"/>
    <s v="Priya"/>
    <s v="Water Bottle"/>
    <x v="4"/>
    <n v="2"/>
    <n v="400"/>
    <n v="10"/>
    <s v="Credit Card"/>
    <s v="Pending"/>
    <x v="24"/>
    <x v="26"/>
  </r>
  <r>
    <s v="ORD028"/>
    <x v="21"/>
    <s v="Rahul Khan"/>
    <x v="5"/>
    <s v="Neha"/>
    <s v="Monitor"/>
    <x v="1"/>
    <n v="1"/>
    <n v="11500"/>
    <n v="5"/>
    <s v="Debit Card"/>
    <s v="Cancelled"/>
    <x v="16"/>
    <x v="27"/>
  </r>
  <r>
    <s v="ORD029"/>
    <x v="22"/>
    <s v="Ananya Roy"/>
    <x v="1"/>
    <s v="Rahul"/>
    <s v="Keyboard"/>
    <x v="1"/>
    <n v="3"/>
    <n v="1100"/>
    <n v="5"/>
    <s v="UPI"/>
    <s v="Delivered"/>
    <x v="25"/>
    <x v="28"/>
  </r>
  <r>
    <s v="ORD030"/>
    <x v="4"/>
    <s v="Sara Ali"/>
    <x v="1"/>
    <s v="Imran"/>
    <s v="Desk"/>
    <x v="3"/>
    <n v="2"/>
    <n v="11875"/>
    <n v="0"/>
    <s v="Cash"/>
    <s v="Delivered"/>
    <x v="22"/>
    <x v="29"/>
  </r>
  <r>
    <s v="ORD031"/>
    <x v="23"/>
    <s v="Vikash Kumar"/>
    <x v="4"/>
    <s v="Rahul"/>
    <s v="Office Chair"/>
    <x v="3"/>
    <n v="1"/>
    <n v="8200"/>
    <n v="0"/>
    <s v="Credit Card"/>
    <s v="Delivered"/>
    <x v="26"/>
    <x v="30"/>
  </r>
  <r>
    <s v="ORD032"/>
    <x v="4"/>
    <s v="Sara Ali"/>
    <x v="2"/>
    <s v="Arjun"/>
    <s v="Notebook"/>
    <x v="2"/>
    <n v="3"/>
    <n v="65"/>
    <n v="5"/>
    <s v="Cash"/>
    <s v="Delivered"/>
    <x v="27"/>
    <x v="31"/>
  </r>
  <r>
    <s v="ORD033"/>
    <x v="24"/>
    <s v="Ananya Roy"/>
    <x v="3"/>
    <s v="Priya"/>
    <s v="Headphones"/>
    <x v="1"/>
    <n v="3"/>
    <n v="2310"/>
    <n v="10"/>
    <s v="Cash"/>
    <s v="Delivered"/>
    <x v="28"/>
    <x v="32"/>
  </r>
  <r>
    <s v="ORD034"/>
    <x v="25"/>
    <s v="Vikash Kumar"/>
    <x v="5"/>
    <s v="Imran"/>
    <s v="Laptop"/>
    <x v="1"/>
    <n v="1"/>
    <n v="49400"/>
    <n v="15"/>
    <s v="Credit Card"/>
    <s v="Delivered"/>
    <x v="29"/>
    <x v="33"/>
  </r>
  <r>
    <s v="ORD035"/>
    <x v="13"/>
    <s v="Rahul Khan"/>
    <x v="0"/>
    <s v="Priya"/>
    <s v="Pen Pack"/>
    <x v="2"/>
    <n v="2"/>
    <n v="105"/>
    <n v="20"/>
    <s v="Cash"/>
    <s v="Delivered"/>
    <x v="30"/>
    <x v="34"/>
  </r>
  <r>
    <s v="ORD036"/>
    <x v="26"/>
    <s v="Rahul Khan"/>
    <x v="4"/>
    <s v="Arjun"/>
    <s v="Backpack"/>
    <x v="4"/>
    <n v="4"/>
    <n v="1520"/>
    <n v="15"/>
    <s v="Cash"/>
    <s v="Cancelled"/>
    <x v="31"/>
    <x v="35"/>
  </r>
  <r>
    <s v="ORD037"/>
    <x v="27"/>
    <s v="Rahul Khan"/>
    <x v="5"/>
    <s v="Imran"/>
    <s v="Pen Pack"/>
    <x v="2"/>
    <n v="4"/>
    <n v="95"/>
    <n v="0"/>
    <s v="Debit Card"/>
    <s v="Pending"/>
    <x v="32"/>
    <x v="36"/>
  </r>
  <r>
    <s v="ORD038"/>
    <x v="28"/>
    <s v="Sana Khan"/>
    <x v="0"/>
    <s v="Rahul"/>
    <s v="Pen Pack"/>
    <x v="2"/>
    <n v="3"/>
    <n v="100"/>
    <n v="10"/>
    <s v="UPI"/>
    <s v="Pending"/>
    <x v="33"/>
    <x v="37"/>
  </r>
  <r>
    <s v="ORD039"/>
    <x v="29"/>
    <s v="Priya Singh"/>
    <x v="5"/>
    <s v="Ayesha"/>
    <s v="Monitor"/>
    <x v="1"/>
    <n v="2"/>
    <n v="12075"/>
    <n v="5"/>
    <s v="Debit Card"/>
    <s v="Delivered"/>
    <x v="34"/>
    <x v="38"/>
  </r>
  <r>
    <s v="ORD040"/>
    <x v="30"/>
    <s v="Amit Sharma"/>
    <x v="3"/>
    <s v="Priya"/>
    <s v="Headphones"/>
    <x v="1"/>
    <n v="2"/>
    <n v="2200"/>
    <n v="10"/>
    <s v="UPI"/>
    <s v="Delivered"/>
    <x v="35"/>
    <x v="39"/>
  </r>
  <r>
    <s v="ORD041"/>
    <x v="31"/>
    <s v="Sana Khan"/>
    <x v="1"/>
    <s v="Priya"/>
    <s v="Office Chair"/>
    <x v="3"/>
    <n v="3"/>
    <n v="8200"/>
    <n v="15"/>
    <s v="UPI"/>
    <s v="Delivered"/>
    <x v="36"/>
    <x v="40"/>
  </r>
  <r>
    <s v="ORD042"/>
    <x v="18"/>
    <s v="Ananya Roy"/>
    <x v="4"/>
    <s v="Neha"/>
    <s v="USB Drive"/>
    <x v="1"/>
    <n v="3"/>
    <n v="617.5"/>
    <n v="5"/>
    <s v="Debit Card"/>
    <s v="Delivered"/>
    <x v="37"/>
    <x v="41"/>
  </r>
  <r>
    <s v="ORD043"/>
    <x v="32"/>
    <s v="Karan Gupta"/>
    <x v="5"/>
    <s v="Imran"/>
    <s v="Desk Lamp"/>
    <x v="0"/>
    <n v="1"/>
    <n v="807.5"/>
    <n v="5"/>
    <s v="Debit Card"/>
    <s v="Delivered"/>
    <x v="3"/>
    <x v="42"/>
  </r>
  <r>
    <s v="ORD044"/>
    <x v="33"/>
    <s v="Riya Das"/>
    <x v="0"/>
    <s v="Imran"/>
    <s v="Headphones"/>
    <x v="1"/>
    <n v="1"/>
    <n v="2090"/>
    <n v="0"/>
    <s v="UPI"/>
    <s v="Delivered"/>
    <x v="38"/>
    <x v="43"/>
  </r>
  <r>
    <s v="ORD045"/>
    <x v="34"/>
    <s v="Vikash Kumar"/>
    <x v="0"/>
    <s v="Arjun"/>
    <s v="USB Drive"/>
    <x v="1"/>
    <n v="4"/>
    <n v="617.5"/>
    <n v="0"/>
    <s v="Debit Card"/>
    <s v="Delivered"/>
    <x v="39"/>
    <x v="44"/>
  </r>
  <r>
    <s v="ORD046"/>
    <x v="35"/>
    <s v="Sara Ali"/>
    <x v="3"/>
    <s v="Rahul"/>
    <s v="Backpack"/>
    <x v="4"/>
    <n v="3"/>
    <n v="1520"/>
    <n v="10"/>
    <s v="Cash"/>
    <s v="Delivered"/>
    <x v="40"/>
    <x v="45"/>
  </r>
  <r>
    <s v="ORD047"/>
    <x v="36"/>
    <s v="Karan Gupta"/>
    <x v="1"/>
    <s v="Ayesha"/>
    <s v="Backpack"/>
    <x v="4"/>
    <n v="3"/>
    <n v="1600"/>
    <n v="10"/>
    <s v="UPI"/>
    <s v="Pending"/>
    <x v="7"/>
    <x v="46"/>
  </r>
  <r>
    <s v="ORD048"/>
    <x v="28"/>
    <s v="Riya Das"/>
    <x v="4"/>
    <s v="Arjun"/>
    <s v="Laptop"/>
    <x v="1"/>
    <n v="2"/>
    <n v="49400"/>
    <n v="10"/>
    <s v="UPI"/>
    <s v="Pending"/>
    <x v="41"/>
    <x v="47"/>
  </r>
  <r>
    <s v="ORD049"/>
    <x v="36"/>
    <s v="Sara Ali"/>
    <x v="2"/>
    <s v="Neha"/>
    <s v="Monitor"/>
    <x v="1"/>
    <n v="2"/>
    <n v="11500"/>
    <n v="20"/>
    <s v="Cash"/>
    <s v="Delivered"/>
    <x v="19"/>
    <x v="48"/>
  </r>
  <r>
    <s v="ORD050"/>
    <x v="21"/>
    <s v="Imran Ansari"/>
    <x v="2"/>
    <s v="Rahul"/>
    <s v="Backpack"/>
    <x v="4"/>
    <n v="3"/>
    <n v="1520"/>
    <n v="5"/>
    <s v="Debit Card"/>
    <s v="Delivered"/>
    <x v="40"/>
    <x v="49"/>
  </r>
  <r>
    <s v="ORD051"/>
    <x v="9"/>
    <s v="Riya Das"/>
    <x v="5"/>
    <s v="Imran"/>
    <s v="Monitor"/>
    <x v="1"/>
    <n v="2"/>
    <n v="10925"/>
    <n v="20"/>
    <s v="Credit Card"/>
    <s v="Cancelled"/>
    <x v="42"/>
    <x v="50"/>
  </r>
  <r>
    <s v="ORD052"/>
    <x v="37"/>
    <s v="Karan Gupta"/>
    <x v="0"/>
    <s v="Arjun"/>
    <s v="Headphones"/>
    <x v="1"/>
    <n v="4"/>
    <n v="2200"/>
    <n v="5"/>
    <s v="Debit Card"/>
    <s v="Delivered"/>
    <x v="43"/>
    <x v="51"/>
  </r>
  <r>
    <s v="ORD053"/>
    <x v="38"/>
    <s v="Vikash Kumar"/>
    <x v="0"/>
    <s v="Imran"/>
    <s v="Headphones"/>
    <x v="1"/>
    <n v="1"/>
    <n v="2200"/>
    <n v="10"/>
    <s v="Credit Card"/>
    <s v="Pending"/>
    <x v="23"/>
    <x v="52"/>
  </r>
  <r>
    <s v="ORD054"/>
    <x v="39"/>
    <s v="Rahul Khan"/>
    <x v="3"/>
    <s v="Priya"/>
    <s v="Water Bottle"/>
    <x v="4"/>
    <n v="1"/>
    <n v="400"/>
    <n v="0"/>
    <s v="Credit Card"/>
    <s v="Delivered"/>
    <x v="10"/>
    <x v="10"/>
  </r>
  <r>
    <s v="ORD055"/>
    <x v="40"/>
    <s v="Riya Das"/>
    <x v="1"/>
    <s v="Ayesha"/>
    <s v="Notebook"/>
    <x v="2"/>
    <n v="4"/>
    <n v="61.75"/>
    <n v="0"/>
    <s v="Credit Card"/>
    <s v="Cancelled"/>
    <x v="44"/>
    <x v="53"/>
  </r>
  <r>
    <s v="ORD056"/>
    <x v="41"/>
    <s v="Imran Ansari"/>
    <x v="2"/>
    <s v="Priya"/>
    <s v="Desk"/>
    <x v="3"/>
    <n v="1"/>
    <n v="12500"/>
    <n v="15"/>
    <s v="Cash"/>
    <s v="Delivered"/>
    <x v="6"/>
    <x v="6"/>
  </r>
  <r>
    <s v="ORD057"/>
    <x v="42"/>
    <s v="Priya Singh"/>
    <x v="3"/>
    <s v="Rahul"/>
    <s v="Water Bottle"/>
    <x v="4"/>
    <n v="4"/>
    <n v="420"/>
    <n v="10"/>
    <s v="Cash"/>
    <s v="Pending"/>
    <x v="45"/>
    <x v="54"/>
  </r>
  <r>
    <s v="ORD058"/>
    <x v="43"/>
    <s v="Sana Khan"/>
    <x v="5"/>
    <s v="Arjun"/>
    <s v="Water Bottle"/>
    <x v="4"/>
    <n v="1"/>
    <n v="380"/>
    <n v="20"/>
    <s v="Debit Card"/>
    <s v="Delivered"/>
    <x v="32"/>
    <x v="55"/>
  </r>
  <r>
    <s v="ORD059"/>
    <x v="30"/>
    <s v="Amit Sharma"/>
    <x v="1"/>
    <s v="Imran"/>
    <s v="Office Chair"/>
    <x v="3"/>
    <n v="2"/>
    <n v="8200"/>
    <n v="5"/>
    <s v="Cash"/>
    <s v="Pending"/>
    <x v="46"/>
    <x v="56"/>
  </r>
  <r>
    <s v="ORD060"/>
    <x v="44"/>
    <s v="Vikash Kumar"/>
    <x v="5"/>
    <s v="Ayesha"/>
    <s v="Headphones"/>
    <x v="1"/>
    <n v="4"/>
    <n v="2200"/>
    <n v="0"/>
    <s v="UPI"/>
    <s v="Delivered"/>
    <x v="43"/>
    <x v="57"/>
  </r>
  <r>
    <s v="ORD061"/>
    <x v="45"/>
    <s v="Ananya Roy"/>
    <x v="1"/>
    <s v="Arjun"/>
    <s v="Pen Pack"/>
    <x v="2"/>
    <n v="2"/>
    <n v="100"/>
    <n v="15"/>
    <s v="Credit Card"/>
    <s v="Delivered"/>
    <x v="47"/>
    <x v="58"/>
  </r>
  <r>
    <s v="ORD062"/>
    <x v="15"/>
    <s v="Vikash Kumar"/>
    <x v="4"/>
    <s v="Arjun"/>
    <s v="Pen Pack"/>
    <x v="2"/>
    <n v="3"/>
    <n v="105"/>
    <n v="0"/>
    <s v="Cash"/>
    <s v="Delivered"/>
    <x v="48"/>
    <x v="59"/>
  </r>
  <r>
    <s v="ORD063"/>
    <x v="42"/>
    <s v="Amit Sharma"/>
    <x v="0"/>
    <s v="Priya"/>
    <s v="Monitor"/>
    <x v="1"/>
    <n v="1"/>
    <n v="11500"/>
    <n v="5"/>
    <s v="Cash"/>
    <s v="Delivered"/>
    <x v="16"/>
    <x v="27"/>
  </r>
  <r>
    <s v="ORD064"/>
    <x v="14"/>
    <s v="Imran Ansari"/>
    <x v="1"/>
    <s v="Ayesha"/>
    <s v="Desk Lamp"/>
    <x v="0"/>
    <n v="2"/>
    <n v="850"/>
    <n v="10"/>
    <s v="UPI"/>
    <s v="Pending"/>
    <x v="49"/>
    <x v="60"/>
  </r>
  <r>
    <s v="ORD065"/>
    <x v="46"/>
    <s v="Riya Das"/>
    <x v="5"/>
    <s v="Neha"/>
    <s v="Notebook"/>
    <x v="2"/>
    <n v="4"/>
    <n v="65"/>
    <n v="0"/>
    <s v="UPI"/>
    <s v="Delivered"/>
    <x v="50"/>
    <x v="61"/>
  </r>
  <r>
    <s v="ORD066"/>
    <x v="41"/>
    <s v="Sana Khan"/>
    <x v="2"/>
    <s v="Ayesha"/>
    <s v="Monitor"/>
    <x v="1"/>
    <n v="1"/>
    <n v="11500"/>
    <n v="0"/>
    <s v="Credit Card"/>
    <s v="Delivered"/>
    <x v="16"/>
    <x v="62"/>
  </r>
  <r>
    <s v="ORD067"/>
    <x v="7"/>
    <s v="Vikash Kumar"/>
    <x v="0"/>
    <s v="Neha"/>
    <s v="Desk"/>
    <x v="3"/>
    <n v="1"/>
    <n v="12500"/>
    <n v="10"/>
    <s v="Credit Card"/>
    <s v="Pending"/>
    <x v="6"/>
    <x v="63"/>
  </r>
  <r>
    <s v="ORD068"/>
    <x v="3"/>
    <s v="Vikash Kumar"/>
    <x v="1"/>
    <s v="Priya"/>
    <s v="Headphones"/>
    <x v="1"/>
    <n v="2"/>
    <n v="2310"/>
    <n v="20"/>
    <s v="UPI"/>
    <s v="Cancelled"/>
    <x v="17"/>
    <x v="64"/>
  </r>
  <r>
    <s v="ORD069"/>
    <x v="28"/>
    <s v="Amit Sharma"/>
    <x v="3"/>
    <s v="Arjun"/>
    <s v="USB Drive"/>
    <x v="1"/>
    <n v="3"/>
    <n v="650"/>
    <n v="5"/>
    <s v="UPI"/>
    <s v="Delivered"/>
    <x v="51"/>
    <x v="65"/>
  </r>
  <r>
    <s v="ORD070"/>
    <x v="47"/>
    <s v="Karan Gupta"/>
    <x v="0"/>
    <s v="Imran"/>
    <s v="Desk"/>
    <x v="3"/>
    <n v="1"/>
    <n v="12500"/>
    <n v="15"/>
    <s v="Debit Card"/>
    <s v="Delivered"/>
    <x v="6"/>
    <x v="6"/>
  </r>
  <r>
    <s v="ORD071"/>
    <x v="13"/>
    <s v="Imran Ansari"/>
    <x v="0"/>
    <s v="Imran"/>
    <s v="Keyboard"/>
    <x v="1"/>
    <n v="4"/>
    <n v="1155"/>
    <n v="0"/>
    <s v="Cash"/>
    <s v="Cancelled"/>
    <x v="17"/>
    <x v="18"/>
  </r>
  <r>
    <s v="ORD072"/>
    <x v="41"/>
    <s v="Rahul Khan"/>
    <x v="5"/>
    <s v="Priya"/>
    <s v="Headphones"/>
    <x v="1"/>
    <n v="1"/>
    <n v="2310"/>
    <n v="15"/>
    <s v="Credit Card"/>
    <s v="Cancelled"/>
    <x v="52"/>
    <x v="66"/>
  </r>
  <r>
    <s v="ORD073"/>
    <x v="30"/>
    <s v="Karan Gupta"/>
    <x v="4"/>
    <s v="Priya"/>
    <s v="Keyboard"/>
    <x v="1"/>
    <n v="3"/>
    <n v="1155"/>
    <n v="0"/>
    <s v="Debit Card"/>
    <s v="Delivered"/>
    <x v="53"/>
    <x v="67"/>
  </r>
  <r>
    <s v="ORD074"/>
    <x v="46"/>
    <s v="Priya Singh"/>
    <x v="5"/>
    <s v="Arjun"/>
    <s v="Pen Pack"/>
    <x v="2"/>
    <n v="4"/>
    <n v="95"/>
    <n v="5"/>
    <s v="UPI"/>
    <s v="Delivered"/>
    <x v="32"/>
    <x v="68"/>
  </r>
  <r>
    <s v="ORD075"/>
    <x v="48"/>
    <s v="Sara Ali"/>
    <x v="1"/>
    <s v="Arjun"/>
    <s v="Backpack"/>
    <x v="4"/>
    <n v="1"/>
    <n v="1680"/>
    <n v="20"/>
    <s v="Credit Card"/>
    <s v="Delivered"/>
    <x v="45"/>
    <x v="69"/>
  </r>
  <r>
    <s v="ORD076"/>
    <x v="49"/>
    <s v="Rahul Khan"/>
    <x v="3"/>
    <s v="Rahul"/>
    <s v="Desk Lamp"/>
    <x v="0"/>
    <n v="3"/>
    <n v="850"/>
    <n v="0"/>
    <s v="Debit Card"/>
    <s v="Delivered"/>
    <x v="11"/>
    <x v="11"/>
  </r>
  <r>
    <s v="ORD077"/>
    <x v="50"/>
    <s v="Karan Gupta"/>
    <x v="1"/>
    <s v="Rahul"/>
    <s v="Notebook"/>
    <x v="2"/>
    <n v="1"/>
    <n v="68.25"/>
    <n v="15"/>
    <s v="Credit Card"/>
    <s v="Delivered"/>
    <x v="20"/>
    <x v="21"/>
  </r>
  <r>
    <s v="ORD078"/>
    <x v="51"/>
    <s v="Ananya Roy"/>
    <x v="2"/>
    <s v="Priya"/>
    <s v="Desk Lamp"/>
    <x v="0"/>
    <n v="3"/>
    <n v="807.5"/>
    <n v="0"/>
    <s v="Cash"/>
    <s v="Cancelled"/>
    <x v="4"/>
    <x v="70"/>
  </r>
  <r>
    <s v="ORD079"/>
    <x v="7"/>
    <s v="Sara Ali"/>
    <x v="1"/>
    <s v="Neha"/>
    <s v="Keyboard"/>
    <x v="1"/>
    <n v="4"/>
    <n v="1045"/>
    <n v="5"/>
    <s v="UPI"/>
    <s v="Delivered"/>
    <x v="54"/>
    <x v="71"/>
  </r>
  <r>
    <s v="ORD080"/>
    <x v="52"/>
    <s v="Amit Sharma"/>
    <x v="4"/>
    <s v="Imran"/>
    <s v="Office Chair"/>
    <x v="3"/>
    <n v="3"/>
    <n v="8200"/>
    <n v="0"/>
    <s v="Credit Card"/>
    <s v="Cancelled"/>
    <x v="36"/>
    <x v="72"/>
  </r>
  <r>
    <s v="ORD081"/>
    <x v="17"/>
    <s v="Priya Singh"/>
    <x v="4"/>
    <s v="Ayesha"/>
    <s v="Office Chair"/>
    <x v="3"/>
    <n v="4"/>
    <n v="8200"/>
    <n v="15"/>
    <s v="Cash"/>
    <s v="Pending"/>
    <x v="55"/>
    <x v="73"/>
  </r>
  <r>
    <s v="ORD082"/>
    <x v="20"/>
    <s v="Sara Ali"/>
    <x v="3"/>
    <s v="Rahul"/>
    <s v="Water Bottle"/>
    <x v="4"/>
    <n v="3"/>
    <n v="380"/>
    <n v="0"/>
    <s v="Cash"/>
    <s v="Delivered"/>
    <x v="56"/>
    <x v="74"/>
  </r>
  <r>
    <s v="ORD083"/>
    <x v="51"/>
    <s v="Sara Ali"/>
    <x v="5"/>
    <s v="Neha"/>
    <s v="Desk Lamp"/>
    <x v="0"/>
    <n v="3"/>
    <n v="892.5"/>
    <n v="10"/>
    <s v="Cash"/>
    <s v="Delivered"/>
    <x v="57"/>
    <x v="75"/>
  </r>
  <r>
    <s v="ORD084"/>
    <x v="53"/>
    <s v="Riya Das"/>
    <x v="3"/>
    <s v="Neha"/>
    <s v="Backpack"/>
    <x v="4"/>
    <n v="3"/>
    <n v="1680"/>
    <n v="10"/>
    <s v="Debit Card"/>
    <s v="Delivered"/>
    <x v="58"/>
    <x v="76"/>
  </r>
  <r>
    <s v="ORD085"/>
    <x v="54"/>
    <s v="Ananya Roy"/>
    <x v="4"/>
    <s v="Neha"/>
    <s v="Water Bottle"/>
    <x v="4"/>
    <n v="1"/>
    <n v="380"/>
    <n v="0"/>
    <s v="Cash"/>
    <s v="Cancelled"/>
    <x v="32"/>
    <x v="36"/>
  </r>
  <r>
    <s v="ORD086"/>
    <x v="39"/>
    <s v="Ananya Roy"/>
    <x v="2"/>
    <s v="Rahul"/>
    <s v="Water Bottle"/>
    <x v="4"/>
    <n v="2"/>
    <n v="420"/>
    <n v="0"/>
    <s v="Credit Card"/>
    <s v="Delivered"/>
    <x v="59"/>
    <x v="77"/>
  </r>
  <r>
    <s v="ORD087"/>
    <x v="55"/>
    <s v="Sara Ali"/>
    <x v="2"/>
    <s v="Imran"/>
    <s v="Desk"/>
    <x v="3"/>
    <n v="1"/>
    <n v="12500"/>
    <n v="5"/>
    <s v="Debit Card"/>
    <s v="Pending"/>
    <x v="6"/>
    <x v="78"/>
  </r>
  <r>
    <s v="ORD088"/>
    <x v="56"/>
    <s v="Ananya Roy"/>
    <x v="4"/>
    <s v="Imran"/>
    <s v="Desk"/>
    <x v="3"/>
    <n v="1"/>
    <n v="12500"/>
    <n v="5"/>
    <s v="Cash"/>
    <s v="Delivered"/>
    <x v="6"/>
    <x v="78"/>
  </r>
  <r>
    <s v="ORD089"/>
    <x v="37"/>
    <s v="Ananya Roy"/>
    <x v="3"/>
    <s v="Rahul"/>
    <s v="Water Bottle"/>
    <x v="4"/>
    <n v="4"/>
    <n v="400"/>
    <n v="5"/>
    <s v="Credit Card"/>
    <s v="Delivered"/>
    <x v="60"/>
    <x v="79"/>
  </r>
  <r>
    <s v="ORD090"/>
    <x v="38"/>
    <s v="Sana Khan"/>
    <x v="4"/>
    <s v="Arjun"/>
    <s v="Pen Pack"/>
    <x v="2"/>
    <n v="3"/>
    <n v="105"/>
    <n v="0"/>
    <s v="Cash"/>
    <s v="Delivered"/>
    <x v="48"/>
    <x v="59"/>
  </r>
  <r>
    <s v="ORD091"/>
    <x v="33"/>
    <s v="Rahul Khan"/>
    <x v="0"/>
    <s v="Priya"/>
    <s v="Water Bottle"/>
    <x v="4"/>
    <n v="3"/>
    <n v="420"/>
    <n v="15"/>
    <s v="Debit Card"/>
    <s v="Delivered"/>
    <x v="61"/>
    <x v="80"/>
  </r>
  <r>
    <s v="ORD092"/>
    <x v="57"/>
    <s v="Rahul Khan"/>
    <x v="3"/>
    <s v="Ayesha"/>
    <s v="Headphones"/>
    <x v="1"/>
    <n v="2"/>
    <n v="2200"/>
    <n v="15"/>
    <s v="Debit Card"/>
    <s v="Delivered"/>
    <x v="35"/>
    <x v="81"/>
  </r>
  <r>
    <s v="ORD093"/>
    <x v="27"/>
    <s v="Riya Das"/>
    <x v="0"/>
    <s v="Priya"/>
    <s v="USB Drive"/>
    <x v="1"/>
    <n v="1"/>
    <n v="650"/>
    <n v="5"/>
    <s v="UPI"/>
    <s v="Delivered"/>
    <x v="62"/>
    <x v="82"/>
  </r>
  <r>
    <s v="ORD094"/>
    <x v="58"/>
    <s v="Karan Gupta"/>
    <x v="3"/>
    <s v="Imran"/>
    <s v="Desk"/>
    <x v="3"/>
    <n v="2"/>
    <n v="11875"/>
    <n v="5"/>
    <s v="Credit Card"/>
    <s v="Delivered"/>
    <x v="22"/>
    <x v="83"/>
  </r>
  <r>
    <s v="ORD095"/>
    <x v="59"/>
    <s v="Sana Khan"/>
    <x v="3"/>
    <s v="Ayesha"/>
    <s v="Headphones"/>
    <x v="1"/>
    <n v="3"/>
    <n v="2200"/>
    <n v="0"/>
    <s v="Debit Card"/>
    <s v="Delivered"/>
    <x v="63"/>
    <x v="84"/>
  </r>
  <r>
    <s v="ORD096"/>
    <x v="38"/>
    <s v="Sana Khan"/>
    <x v="2"/>
    <s v="Rahul"/>
    <s v="Laptop"/>
    <x v="1"/>
    <n v="1"/>
    <n v="52000"/>
    <n v="15"/>
    <s v="Credit Card"/>
    <s v="Delivered"/>
    <x v="8"/>
    <x v="85"/>
  </r>
  <r>
    <s v="ORD097"/>
    <x v="4"/>
    <s v="Vikash Kumar"/>
    <x v="1"/>
    <s v="Arjun"/>
    <s v="Office Chair"/>
    <x v="3"/>
    <n v="1"/>
    <n v="7790"/>
    <n v="0"/>
    <s v="UPI"/>
    <s v="Delivered"/>
    <x v="64"/>
    <x v="86"/>
  </r>
  <r>
    <s v="ORD098"/>
    <x v="20"/>
    <s v="Riya Das"/>
    <x v="3"/>
    <s v="Imran"/>
    <s v="Headphones"/>
    <x v="1"/>
    <n v="2"/>
    <n v="2090"/>
    <n v="10"/>
    <s v="Cash"/>
    <s v="Delivered"/>
    <x v="54"/>
    <x v="87"/>
  </r>
  <r>
    <s v="ORD099"/>
    <x v="54"/>
    <s v="Amit Sharma"/>
    <x v="2"/>
    <s v="Ayesha"/>
    <s v="Desk"/>
    <x v="3"/>
    <n v="1"/>
    <n v="12500"/>
    <n v="15"/>
    <s v="Cash"/>
    <s v="Cancelled"/>
    <x v="6"/>
    <x v="6"/>
  </r>
  <r>
    <s v="ORD100"/>
    <x v="28"/>
    <s v="Riya Das"/>
    <x v="2"/>
    <s v="Ayesha"/>
    <s v="Monitor"/>
    <x v="1"/>
    <n v="2"/>
    <n v="11500"/>
    <n v="0"/>
    <s v="Debit Card"/>
    <s v="Cancelled"/>
    <x v="19"/>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27103-29BE-4F6C-94A9-8F3AE48C924C}"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6">
    <pivotField showAll="0"/>
    <pivotField numFmtId="164" showAll="0">
      <items count="61">
        <item x="51"/>
        <item x="15"/>
        <item x="8"/>
        <item x="54"/>
        <item x="12"/>
        <item x="18"/>
        <item x="6"/>
        <item x="10"/>
        <item x="55"/>
        <item x="47"/>
        <item x="29"/>
        <item x="45"/>
        <item x="42"/>
        <item x="39"/>
        <item x="27"/>
        <item x="30"/>
        <item x="21"/>
        <item x="20"/>
        <item x="43"/>
        <item x="2"/>
        <item x="13"/>
        <item x="37"/>
        <item x="56"/>
        <item x="58"/>
        <item x="44"/>
        <item x="16"/>
        <item x="48"/>
        <item x="11"/>
        <item x="3"/>
        <item x="7"/>
        <item x="28"/>
        <item x="19"/>
        <item x="23"/>
        <item x="33"/>
        <item x="25"/>
        <item x="0"/>
        <item x="32"/>
        <item x="24"/>
        <item x="53"/>
        <item x="5"/>
        <item x="1"/>
        <item x="4"/>
        <item x="26"/>
        <item x="59"/>
        <item x="9"/>
        <item x="22"/>
        <item x="52"/>
        <item x="46"/>
        <item x="38"/>
        <item x="40"/>
        <item x="14"/>
        <item x="41"/>
        <item x="35"/>
        <item x="36"/>
        <item x="17"/>
        <item x="31"/>
        <item x="50"/>
        <item x="34"/>
        <item x="57"/>
        <item x="49"/>
        <item t="default"/>
      </items>
    </pivotField>
    <pivotField showAll="0"/>
    <pivotField showAll="0"/>
    <pivotField showAll="0"/>
    <pivotField showAll="0"/>
    <pivotField axis="axisRow" showAll="0" sortType="ascending">
      <items count="6">
        <item x="4"/>
        <item x="1"/>
        <item x="3"/>
        <item x="0"/>
        <item x="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6"/>
  </rowFields>
  <rowItems count="6">
    <i>
      <x/>
    </i>
    <i>
      <x v="1"/>
    </i>
    <i>
      <x v="2"/>
    </i>
    <i>
      <x v="3"/>
    </i>
    <i>
      <x v="4"/>
    </i>
    <i t="grand">
      <x/>
    </i>
  </rowItems>
  <colItems count="1">
    <i/>
  </colItems>
  <dataFields count="1">
    <dataField name="Sum of Net_Sales"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B815A-0303-4121-B529-F22F04A5288F}"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6">
    <pivotField showAll="0"/>
    <pivotField numFmtId="164" showAll="0">
      <items count="61">
        <item x="51"/>
        <item x="15"/>
        <item x="8"/>
        <item x="54"/>
        <item x="12"/>
        <item x="18"/>
        <item x="6"/>
        <item x="10"/>
        <item x="55"/>
        <item x="47"/>
        <item x="29"/>
        <item x="45"/>
        <item x="42"/>
        <item x="39"/>
        <item x="27"/>
        <item x="30"/>
        <item x="21"/>
        <item x="20"/>
        <item x="43"/>
        <item x="2"/>
        <item x="13"/>
        <item x="37"/>
        <item x="56"/>
        <item x="58"/>
        <item x="44"/>
        <item x="16"/>
        <item x="48"/>
        <item x="11"/>
        <item x="3"/>
        <item x="7"/>
        <item x="28"/>
        <item x="19"/>
        <item x="23"/>
        <item x="33"/>
        <item x="25"/>
        <item x="0"/>
        <item x="32"/>
        <item x="24"/>
        <item x="53"/>
        <item x="5"/>
        <item x="1"/>
        <item x="4"/>
        <item x="26"/>
        <item x="59"/>
        <item x="9"/>
        <item x="22"/>
        <item x="52"/>
        <item x="46"/>
        <item x="38"/>
        <item x="40"/>
        <item x="14"/>
        <item x="41"/>
        <item x="35"/>
        <item x="36"/>
        <item x="17"/>
        <item x="31"/>
        <item x="50"/>
        <item x="34"/>
        <item x="57"/>
        <item x="4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5"/>
    <field x="14"/>
  </rowFields>
  <rowItems count="5">
    <i>
      <x v="1"/>
    </i>
    <i r="1">
      <x v="1"/>
    </i>
    <i r="1">
      <x v="2"/>
    </i>
    <i r="1">
      <x v="3"/>
    </i>
    <i t="grand">
      <x/>
    </i>
  </rowItems>
  <colItems count="1">
    <i/>
  </colItems>
  <dataFields count="1">
    <dataField name="Sum of Net_Sales"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618B4-E221-4FC0-8B8D-BCBAD9C0FAA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0" firstHeaderRow="0" firstDataRow="1" firstDataCol="1"/>
  <pivotFields count="16">
    <pivotField showAll="0"/>
    <pivotField numFmtId="164" showAll="0">
      <items count="61">
        <item x="51"/>
        <item x="15"/>
        <item x="8"/>
        <item x="54"/>
        <item x="12"/>
        <item x="18"/>
        <item x="6"/>
        <item x="10"/>
        <item x="55"/>
        <item x="47"/>
        <item x="29"/>
        <item x="45"/>
        <item x="42"/>
        <item x="39"/>
        <item x="27"/>
        <item x="30"/>
        <item x="21"/>
        <item x="20"/>
        <item x="43"/>
        <item x="2"/>
        <item x="13"/>
        <item x="37"/>
        <item x="56"/>
        <item x="58"/>
        <item x="44"/>
        <item x="16"/>
        <item x="48"/>
        <item x="11"/>
        <item x="3"/>
        <item x="7"/>
        <item x="28"/>
        <item x="19"/>
        <item x="23"/>
        <item x="33"/>
        <item x="25"/>
        <item x="0"/>
        <item x="32"/>
        <item x="24"/>
        <item x="53"/>
        <item x="5"/>
        <item x="1"/>
        <item x="4"/>
        <item x="26"/>
        <item x="59"/>
        <item x="9"/>
        <item x="22"/>
        <item x="52"/>
        <item x="46"/>
        <item x="38"/>
        <item x="40"/>
        <item x="14"/>
        <item x="41"/>
        <item x="35"/>
        <item x="36"/>
        <item x="17"/>
        <item x="31"/>
        <item x="50"/>
        <item x="34"/>
        <item x="57"/>
        <item x="49"/>
        <item t="default"/>
      </items>
    </pivotField>
    <pivotField showAll="0"/>
    <pivotField axis="axisRow" showAll="0">
      <items count="7">
        <item x="1"/>
        <item x="4"/>
        <item x="2"/>
        <item x="3"/>
        <item x="5"/>
        <item x="0"/>
        <item t="default"/>
      </items>
    </pivotField>
    <pivotField showAll="0"/>
    <pivotField showAll="0"/>
    <pivotField showAll="0"/>
    <pivotField showAll="0"/>
    <pivotField showAll="0"/>
    <pivotField showAll="0"/>
    <pivotField showAll="0"/>
    <pivotField showAll="0"/>
    <pivotField dataField="1" showAll="0">
      <items count="66">
        <item h="1" x="20"/>
        <item h="1" x="27"/>
        <item x="47"/>
        <item h="1" x="30"/>
        <item h="1" x="44"/>
        <item h="1" x="50"/>
        <item h="1" x="5"/>
        <item h="1" x="33"/>
        <item h="1" x="48"/>
        <item h="1" x="32"/>
        <item h="1" x="10"/>
        <item h="1" x="62"/>
        <item h="1" x="24"/>
        <item h="1" x="3"/>
        <item h="1" x="59"/>
        <item h="1" x="2"/>
        <item h="1" x="56"/>
        <item h="1" x="61"/>
        <item h="1" x="60"/>
        <item h="1" x="45"/>
        <item h="1" x="49"/>
        <item h="1" x="37"/>
        <item h="1" x="51"/>
        <item h="1" x="38"/>
        <item h="1" x="23"/>
        <item h="1" x="52"/>
        <item h="1" x="4"/>
        <item h="1" x="39"/>
        <item h="1" x="11"/>
        <item h="1" x="57"/>
        <item h="1" x="25"/>
        <item h="1" x="0"/>
        <item h="1" x="53"/>
        <item h="1" x="54"/>
        <item h="1" x="35"/>
        <item h="1" x="40"/>
        <item h="1" x="17"/>
        <item h="1" x="7"/>
        <item h="1" x="58"/>
        <item h="1" x="31"/>
        <item h="1" x="63"/>
        <item h="1" x="12"/>
        <item h="1" x="28"/>
        <item h="1" x="64"/>
        <item h="1" x="26"/>
        <item h="1" x="43"/>
        <item h="1" x="13"/>
        <item h="1" x="16"/>
        <item h="1" x="18"/>
        <item h="1" x="6"/>
        <item h="1" x="14"/>
        <item h="1" x="46"/>
        <item h="1" x="42"/>
        <item h="1" x="19"/>
        <item h="1" x="9"/>
        <item h="1" x="22"/>
        <item h="1" x="34"/>
        <item h="1" x="36"/>
        <item h="1" x="15"/>
        <item h="1" x="21"/>
        <item h="1" x="55"/>
        <item h="1" x="29"/>
        <item h="1" x="8"/>
        <item h="1" x="1"/>
        <item h="1" x="41"/>
        <item t="default"/>
      </items>
    </pivotField>
    <pivotField dataField="1" showAll="0">
      <items count="89">
        <item h="1" x="21"/>
        <item h="1" x="34"/>
        <item h="1" x="58"/>
        <item x="31"/>
        <item h="1" x="53"/>
        <item h="1" x="61"/>
        <item h="1" x="37"/>
        <item h="1" x="5"/>
        <item h="1" x="55"/>
        <item h="1" x="59"/>
        <item h="1" x="68"/>
        <item h="1" x="36"/>
        <item h="1" x="10"/>
        <item h="1" x="82"/>
        <item h="1" x="26"/>
        <item h="1" x="2"/>
        <item h="1" x="3"/>
        <item h="1" x="42"/>
        <item h="1" x="77"/>
        <item h="1" x="80"/>
        <item h="1" x="74"/>
        <item h="1" x="69"/>
        <item h="1" x="54"/>
        <item h="1" x="79"/>
        <item h="1" x="60"/>
        <item h="1" x="41"/>
        <item h="1" x="65"/>
        <item h="1" x="25"/>
        <item h="1" x="4"/>
        <item h="1" x="66"/>
        <item h="1" x="52"/>
        <item h="1" x="43"/>
        <item h="1" x="13"/>
        <item h="1" x="75"/>
        <item h="1" x="70"/>
        <item h="1" x="44"/>
        <item h="1" x="11"/>
        <item h="1" x="0"/>
        <item h="1" x="28"/>
        <item h="1" x="67"/>
        <item h="1" x="64"/>
        <item h="1" x="81"/>
        <item h="1" x="87"/>
        <item h="1" x="39"/>
        <item h="1" x="71"/>
        <item h="1" x="7"/>
        <item h="1" x="45"/>
        <item h="1" x="46"/>
        <item h="1" x="49"/>
        <item h="1" x="76"/>
        <item h="1" x="18"/>
        <item h="1" x="35"/>
        <item h="1" x="12"/>
        <item h="1" x="32"/>
        <item h="1" x="84"/>
        <item h="1" x="86"/>
        <item h="1" x="30"/>
        <item h="1" x="14"/>
        <item h="1" x="51"/>
        <item h="1" x="57"/>
        <item h="1" x="19"/>
        <item h="1" x="17"/>
        <item h="1" x="6"/>
        <item h="1" x="27"/>
        <item h="1" x="15"/>
        <item h="1" x="63"/>
        <item h="1" x="62"/>
        <item h="1" x="78"/>
        <item h="1" x="56"/>
        <item h="1" x="50"/>
        <item h="1" x="48"/>
        <item h="1" x="9"/>
        <item h="1" x="20"/>
        <item h="1" x="40"/>
        <item h="1" x="23"/>
        <item h="1" x="16"/>
        <item h="1" x="83"/>
        <item h="1" x="38"/>
        <item h="1" x="24"/>
        <item h="1" x="29"/>
        <item h="1" x="72"/>
        <item h="1" x="22"/>
        <item h="1" x="73"/>
        <item h="1" x="33"/>
        <item h="1" x="1"/>
        <item h="1" x="85"/>
        <item h="1" x="8"/>
        <item h="1" x="47"/>
        <item t="default"/>
      </items>
    </pivotField>
    <pivotField showAll="0" defaultSubtotal="0"/>
    <pivotField showAll="0" defaultSubtotal="0">
      <items count="3">
        <item x="0"/>
        <item x="1"/>
        <item x="2"/>
      </items>
    </pivotField>
  </pivotFields>
  <rowFields count="1">
    <field x="3"/>
  </rowFields>
  <rowItems count="7">
    <i>
      <x/>
    </i>
    <i>
      <x v="1"/>
    </i>
    <i>
      <x v="2"/>
    </i>
    <i>
      <x v="3"/>
    </i>
    <i>
      <x v="4"/>
    </i>
    <i>
      <x v="5"/>
    </i>
    <i t="grand">
      <x/>
    </i>
  </rowItems>
  <colFields count="1">
    <field x="-2"/>
  </colFields>
  <colItems count="2">
    <i>
      <x/>
    </i>
    <i i="1">
      <x v="1"/>
    </i>
  </colItems>
  <dataFields count="2">
    <dataField name="Sum of Net_Sales" fld="13" baseField="0" baseItem="0"/>
    <dataField name="Sum of Gross_Sales"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193663-DBF9-4F0C-B459-29EE9B2C377E}" sourceName="Category">
  <pivotTables>
    <pivotTable tabId="4" name="PivotTable1"/>
  </pivotTables>
  <data>
    <tabular pivotCacheId="1192184034">
      <items count="5">
        <i x="4" s="1"/>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CF76BB-918D-41C1-82E7-C59098E4D811}" sourceName="City">
  <pivotTables>
    <pivotTable tabId="7" name="PivotTable3"/>
  </pivotTables>
  <data>
    <tabular pivotCacheId="1192184034">
      <items count="6">
        <i x="1" s="1"/>
        <i x="4" s="1"/>
        <i x="2" s="1"/>
        <i x="3"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6EF7C11-8B21-4E98-A239-71864767A3A9}" sourceName="Months (Order_Date)">
  <pivotTables>
    <pivotTable tabId="5" name="PivotTable2"/>
  </pivotTables>
  <data>
    <tabular pivotCacheId="1192184034">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F59F1B-CEF1-45CD-A6C4-A49412BE0928}" cache="Slicer_Category" caption="Category" rowHeight="234950"/>
  <slicer name="City" xr10:uid="{50363183-CD86-46A2-A4BA-2AB076CE0761}" cache="Slicer_City" caption="City" rowHeight="234950"/>
  <slicer name="Months (Order_Date)" xr10:uid="{6D1772C5-350F-4747-B045-C002DDF62FBA}" cache="Slicer_Months__Order_Date" caption="Month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319C70-E7BE-4F58-922D-17577DBE23CB}" name="SalesTable" displayName="SalesTable" ref="A1:N101" totalsRowShown="0" headerRowDxfId="2" headerRowBorderDxfId="4" tableBorderDxfId="5">
  <autoFilter ref="A1:N101" xr:uid="{00000000-0009-0000-0000-000000000000}"/>
  <tableColumns count="14">
    <tableColumn id="1" xr3:uid="{C31A1AC8-BC20-4854-9280-B282F7B47F04}" name="Order_ID"/>
    <tableColumn id="2" xr3:uid="{16100C7C-2CEA-4805-9E9A-47EF88ADEC70}" name="Order_Date" dataDxfId="3"/>
    <tableColumn id="3" xr3:uid="{B956A82A-BA56-49A0-8024-C5A4A17A5307}" name="Customer_Name"/>
    <tableColumn id="4" xr3:uid="{72938699-91EB-4188-838A-A3076E999D56}" name="City"/>
    <tableColumn id="5" xr3:uid="{68D91563-7704-4452-BB0C-50757DE0CE1B}" name="Salesperson"/>
    <tableColumn id="6" xr3:uid="{377E051F-7371-4EAD-A4D4-15BF7DB6748B}" name="Product"/>
    <tableColumn id="7" xr3:uid="{552A7DE7-8977-43EC-94CC-B0FE78186A96}" name="Category"/>
    <tableColumn id="8" xr3:uid="{F75C3830-22F0-46A9-BAA3-AF2EE23B3DB9}" name="Quantity"/>
    <tableColumn id="9" xr3:uid="{5DCEB6A2-0A61-458E-8EB8-FEE12FC86143}" name="Unit_Price"/>
    <tableColumn id="10" xr3:uid="{9DB87F28-92CC-4543-9201-5EF99B7CAB96}" name="Discount_Percent"/>
    <tableColumn id="11" xr3:uid="{D5885D2B-3ED5-4415-B918-70ED2D486BEB}" name="Payment_Mode"/>
    <tableColumn id="12" xr3:uid="{1BB69E80-BA84-42B6-89B7-4BE2924D9C83}" name="Order_Status"/>
    <tableColumn id="13" xr3:uid="{0F60CCA8-C060-4B65-BB71-D722F0824289}" name="Gross_Sales" dataDxfId="1">
      <calculatedColumnFormula>SalesTable[[#This Row],[Quantity]]*SalesTable[[#This Row],[Unit_Price]]</calculatedColumnFormula>
    </tableColumn>
    <tableColumn id="14" xr3:uid="{4897DD3D-93E2-4141-985B-65557BFB77C2}" name="Net_Sales" dataDxfId="0">
      <calculatedColumnFormula>SalesTable[[#This Row],[Gross_Sales]]*(1-SalesTable[[#This Row],[Discount_Percent]]/100)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B733-F174-4EAB-A7DC-2C4CE97F7C45}">
  <dimension ref="A3:B9"/>
  <sheetViews>
    <sheetView workbookViewId="0">
      <selection activeCell="N11" sqref="N11"/>
    </sheetView>
  </sheetViews>
  <sheetFormatPr defaultRowHeight="14.4" x14ac:dyDescent="0.3"/>
  <cols>
    <col min="1" max="1" width="13.109375" bestFit="1" customWidth="1"/>
    <col min="2" max="2" width="15.77734375" bestFit="1" customWidth="1"/>
  </cols>
  <sheetData>
    <row r="3" spans="1:2" x14ac:dyDescent="0.3">
      <c r="A3" s="3" t="s">
        <v>170</v>
      </c>
      <c r="B3" t="s">
        <v>172</v>
      </c>
    </row>
    <row r="4" spans="1:2" x14ac:dyDescent="0.3">
      <c r="A4" s="4" t="s">
        <v>49</v>
      </c>
      <c r="B4" s="5">
        <v>41147</v>
      </c>
    </row>
    <row r="5" spans="1:2" x14ac:dyDescent="0.3">
      <c r="A5" s="4" t="s">
        <v>24</v>
      </c>
      <c r="B5" s="5">
        <v>522697.875</v>
      </c>
    </row>
    <row r="6" spans="1:2" x14ac:dyDescent="0.3">
      <c r="A6" s="4" t="s">
        <v>45</v>
      </c>
      <c r="B6" s="5">
        <v>339418.25</v>
      </c>
    </row>
    <row r="7" spans="1:2" x14ac:dyDescent="0.3">
      <c r="A7" s="4" t="s">
        <v>17</v>
      </c>
      <c r="B7" s="5">
        <v>20504.125</v>
      </c>
    </row>
    <row r="8" spans="1:2" x14ac:dyDescent="0.3">
      <c r="A8" s="4" t="s">
        <v>41</v>
      </c>
      <c r="B8" s="5">
        <v>3472.2749999999996</v>
      </c>
    </row>
    <row r="9" spans="1:2" x14ac:dyDescent="0.3">
      <c r="A9" s="4" t="s">
        <v>171</v>
      </c>
      <c r="B9" s="5">
        <v>927239.52500000002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357D1-F92E-4D99-A424-9C41498E64E9}">
  <dimension ref="A3:B8"/>
  <sheetViews>
    <sheetView topLeftCell="K1" workbookViewId="0">
      <selection activeCell="C22" sqref="C22"/>
    </sheetView>
  </sheetViews>
  <sheetFormatPr defaultRowHeight="14.4" x14ac:dyDescent="0.3"/>
  <cols>
    <col min="1" max="1" width="12.5546875" bestFit="1" customWidth="1"/>
    <col min="2" max="2" width="15.77734375" bestFit="1" customWidth="1"/>
  </cols>
  <sheetData>
    <row r="3" spans="1:2" x14ac:dyDescent="0.3">
      <c r="A3" s="3" t="s">
        <v>170</v>
      </c>
      <c r="B3" t="s">
        <v>172</v>
      </c>
    </row>
    <row r="4" spans="1:2" x14ac:dyDescent="0.3">
      <c r="A4" s="4" t="s">
        <v>176</v>
      </c>
      <c r="B4" s="5">
        <v>927239.52499999991</v>
      </c>
    </row>
    <row r="5" spans="1:2" x14ac:dyDescent="0.3">
      <c r="A5" s="6" t="s">
        <v>173</v>
      </c>
      <c r="B5" s="5">
        <v>282503.88750000001</v>
      </c>
    </row>
    <row r="6" spans="1:2" x14ac:dyDescent="0.3">
      <c r="A6" s="6" t="s">
        <v>174</v>
      </c>
      <c r="B6" s="5">
        <v>384592.625</v>
      </c>
    </row>
    <row r="7" spans="1:2" x14ac:dyDescent="0.3">
      <c r="A7" s="6" t="s">
        <v>175</v>
      </c>
      <c r="B7" s="5">
        <v>260143.01250000001</v>
      </c>
    </row>
    <row r="8" spans="1:2" x14ac:dyDescent="0.3">
      <c r="A8" s="4" t="s">
        <v>171</v>
      </c>
      <c r="B8" s="5">
        <v>927239.52499999991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F105-CAC5-4495-866D-122770601C0B}">
  <dimension ref="A3:C10"/>
  <sheetViews>
    <sheetView workbookViewId="0">
      <selection activeCell="B7" sqref="B7"/>
    </sheetView>
  </sheetViews>
  <sheetFormatPr defaultRowHeight="14.4" x14ac:dyDescent="0.3"/>
  <cols>
    <col min="1" max="1" width="12.5546875" bestFit="1" customWidth="1"/>
    <col min="2" max="2" width="15.77734375" bestFit="1" customWidth="1"/>
    <col min="3" max="3" width="17.44140625" bestFit="1" customWidth="1"/>
  </cols>
  <sheetData>
    <row r="3" spans="1:3" x14ac:dyDescent="0.3">
      <c r="A3" s="3" t="s">
        <v>170</v>
      </c>
      <c r="B3" t="s">
        <v>172</v>
      </c>
      <c r="C3" t="s">
        <v>180</v>
      </c>
    </row>
    <row r="4" spans="1:3" x14ac:dyDescent="0.3">
      <c r="A4" s="4" t="s">
        <v>21</v>
      </c>
      <c r="B4" s="5">
        <v>220984.76250000001</v>
      </c>
      <c r="C4" s="5">
        <v>249527.75</v>
      </c>
    </row>
    <row r="5" spans="1:3" x14ac:dyDescent="0.3">
      <c r="A5" s="4" t="s">
        <v>47</v>
      </c>
      <c r="B5" s="5">
        <v>204577.875</v>
      </c>
      <c r="C5" s="5">
        <v>221727.5</v>
      </c>
    </row>
    <row r="6" spans="1:3" x14ac:dyDescent="0.3">
      <c r="A6" s="4" t="s">
        <v>28</v>
      </c>
      <c r="B6" s="5">
        <v>187694.75</v>
      </c>
      <c r="C6" s="5">
        <v>210417.5</v>
      </c>
    </row>
    <row r="7" spans="1:3" x14ac:dyDescent="0.3">
      <c r="A7" s="4" t="s">
        <v>33</v>
      </c>
      <c r="B7" s="5">
        <v>91621.762499999997</v>
      </c>
      <c r="C7" s="5">
        <v>100060.75</v>
      </c>
    </row>
    <row r="8" spans="1:3" x14ac:dyDescent="0.3">
      <c r="A8" s="4" t="s">
        <v>67</v>
      </c>
      <c r="B8" s="5">
        <v>132952.875</v>
      </c>
      <c r="C8" s="5">
        <v>150095</v>
      </c>
    </row>
    <row r="9" spans="1:3" x14ac:dyDescent="0.3">
      <c r="A9" s="4" t="s">
        <v>14</v>
      </c>
      <c r="B9" s="5">
        <v>89407.5</v>
      </c>
      <c r="C9" s="5">
        <v>98690</v>
      </c>
    </row>
    <row r="10" spans="1:3" x14ac:dyDescent="0.3">
      <c r="A10" s="4" t="s">
        <v>171</v>
      </c>
      <c r="B10" s="5">
        <v>927239.52499999991</v>
      </c>
      <c r="C10" s="5">
        <v>1030518.5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zoomScale="64" workbookViewId="0">
      <pane ySplit="1" topLeftCell="A2" activePane="bottomLeft" state="frozen"/>
      <selection pane="bottomLeft" activeCell="F29" sqref="F29"/>
    </sheetView>
  </sheetViews>
  <sheetFormatPr defaultRowHeight="14.4" x14ac:dyDescent="0.3"/>
  <cols>
    <col min="1" max="1" width="12" customWidth="1"/>
    <col min="2" max="2" width="12.5546875" customWidth="1"/>
    <col min="3" max="3" width="17" customWidth="1"/>
    <col min="4" max="4" width="12" customWidth="1"/>
    <col min="5" max="5" width="13" customWidth="1"/>
    <col min="6" max="7" width="14" customWidth="1"/>
    <col min="8" max="9" width="12" customWidth="1"/>
    <col min="10" max="10" width="18" customWidth="1"/>
    <col min="11" max="11" width="16.44140625" customWidth="1"/>
    <col min="12" max="12" width="14" customWidth="1"/>
    <col min="13" max="13" width="18.554687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158</v>
      </c>
      <c r="N1" s="2" t="s">
        <v>159</v>
      </c>
    </row>
    <row r="2" spans="1:14" x14ac:dyDescent="0.3">
      <c r="A2" t="s">
        <v>12</v>
      </c>
      <c r="B2" s="1">
        <v>46069</v>
      </c>
      <c r="C2" t="s">
        <v>13</v>
      </c>
      <c r="D2" t="s">
        <v>14</v>
      </c>
      <c r="E2" t="s">
        <v>15</v>
      </c>
      <c r="F2" t="s">
        <v>16</v>
      </c>
      <c r="G2" t="s">
        <v>17</v>
      </c>
      <c r="H2">
        <v>4</v>
      </c>
      <c r="I2">
        <v>850</v>
      </c>
      <c r="J2">
        <v>20</v>
      </c>
      <c r="K2" t="s">
        <v>18</v>
      </c>
      <c r="L2" t="s">
        <v>19</v>
      </c>
      <c r="M2">
        <f>SalesTable[[#This Row],[Quantity]]*SalesTable[[#This Row],[Unit_Price]]</f>
        <v>3400</v>
      </c>
      <c r="N2">
        <f>SalesTable[[#This Row],[Gross_Sales]]*(1-SalesTable[[#This Row],[Discount_Percent]]/100)</f>
        <v>2720</v>
      </c>
    </row>
    <row r="3" spans="1:14" x14ac:dyDescent="0.3">
      <c r="A3" t="s">
        <v>20</v>
      </c>
      <c r="B3" s="1">
        <v>46076</v>
      </c>
      <c r="C3" t="s">
        <v>13</v>
      </c>
      <c r="D3" t="s">
        <v>21</v>
      </c>
      <c r="E3" t="s">
        <v>22</v>
      </c>
      <c r="F3" t="s">
        <v>23</v>
      </c>
      <c r="G3" t="s">
        <v>24</v>
      </c>
      <c r="H3">
        <v>1</v>
      </c>
      <c r="I3">
        <v>54600</v>
      </c>
      <c r="J3">
        <v>20</v>
      </c>
      <c r="K3" t="s">
        <v>25</v>
      </c>
      <c r="L3" t="s">
        <v>19</v>
      </c>
      <c r="M3">
        <f>SalesTable[[#This Row],[Quantity]]*SalesTable[[#This Row],[Unit_Price]]</f>
        <v>54600</v>
      </c>
      <c r="N3">
        <f>SalesTable[[#This Row],[Gross_Sales]]*(1-SalesTable[[#This Row],[Discount_Percent]]/100)</f>
        <v>43680</v>
      </c>
    </row>
    <row r="4" spans="1:14" x14ac:dyDescent="0.3">
      <c r="A4" t="s">
        <v>26</v>
      </c>
      <c r="B4" s="1">
        <v>46048</v>
      </c>
      <c r="C4" t="s">
        <v>27</v>
      </c>
      <c r="D4" t="s">
        <v>28</v>
      </c>
      <c r="E4" t="s">
        <v>29</v>
      </c>
      <c r="F4" t="s">
        <v>16</v>
      </c>
      <c r="G4" t="s">
        <v>17</v>
      </c>
      <c r="H4">
        <v>1</v>
      </c>
      <c r="I4">
        <v>850</v>
      </c>
      <c r="J4">
        <v>15</v>
      </c>
      <c r="K4" t="s">
        <v>30</v>
      </c>
      <c r="L4" t="s">
        <v>19</v>
      </c>
      <c r="M4">
        <f>SalesTable[[#This Row],[Quantity]]*SalesTable[[#This Row],[Unit_Price]]</f>
        <v>850</v>
      </c>
      <c r="N4">
        <f>SalesTable[[#This Row],[Gross_Sales]]*(1-SalesTable[[#This Row],[Discount_Percent]]/100)</f>
        <v>722.5</v>
      </c>
    </row>
    <row r="5" spans="1:14" x14ac:dyDescent="0.3">
      <c r="A5" t="s">
        <v>31</v>
      </c>
      <c r="B5" s="1">
        <v>46062</v>
      </c>
      <c r="C5" t="s">
        <v>32</v>
      </c>
      <c r="D5" t="s">
        <v>33</v>
      </c>
      <c r="E5" t="s">
        <v>29</v>
      </c>
      <c r="F5" t="s">
        <v>16</v>
      </c>
      <c r="G5" t="s">
        <v>17</v>
      </c>
      <c r="H5">
        <v>1</v>
      </c>
      <c r="I5">
        <v>807.5</v>
      </c>
      <c r="J5">
        <v>10</v>
      </c>
      <c r="K5" t="s">
        <v>30</v>
      </c>
      <c r="L5" t="s">
        <v>34</v>
      </c>
      <c r="M5">
        <f>SalesTable[[#This Row],[Quantity]]*SalesTable[[#This Row],[Unit_Price]]</f>
        <v>807.5</v>
      </c>
      <c r="N5">
        <f>SalesTable[[#This Row],[Gross_Sales]]*(1-SalesTable[[#This Row],[Discount_Percent]]/100)</f>
        <v>726.75</v>
      </c>
    </row>
    <row r="6" spans="1:14" x14ac:dyDescent="0.3">
      <c r="A6" t="s">
        <v>35</v>
      </c>
      <c r="B6" s="1">
        <v>46078</v>
      </c>
      <c r="C6" t="s">
        <v>36</v>
      </c>
      <c r="D6" t="s">
        <v>21</v>
      </c>
      <c r="E6" t="s">
        <v>37</v>
      </c>
      <c r="F6" t="s">
        <v>16</v>
      </c>
      <c r="G6" t="s">
        <v>17</v>
      </c>
      <c r="H6">
        <v>3</v>
      </c>
      <c r="I6">
        <v>807.5</v>
      </c>
      <c r="J6">
        <v>20</v>
      </c>
      <c r="K6" t="s">
        <v>18</v>
      </c>
      <c r="L6" t="s">
        <v>19</v>
      </c>
      <c r="M6">
        <f>SalesTable[[#This Row],[Quantity]]*SalesTable[[#This Row],[Unit_Price]]</f>
        <v>2422.5</v>
      </c>
      <c r="N6">
        <f>SalesTable[[#This Row],[Gross_Sales]]*(1-SalesTable[[#This Row],[Discount_Percent]]/100)</f>
        <v>1938</v>
      </c>
    </row>
    <row r="7" spans="1:14" x14ac:dyDescent="0.3">
      <c r="A7" t="s">
        <v>38</v>
      </c>
      <c r="B7" s="1">
        <v>46074</v>
      </c>
      <c r="C7" t="s">
        <v>39</v>
      </c>
      <c r="D7" t="s">
        <v>33</v>
      </c>
      <c r="E7" t="s">
        <v>29</v>
      </c>
      <c r="F7" t="s">
        <v>40</v>
      </c>
      <c r="G7" t="s">
        <v>41</v>
      </c>
      <c r="H7">
        <v>3</v>
      </c>
      <c r="I7">
        <v>95</v>
      </c>
      <c r="J7">
        <v>0</v>
      </c>
      <c r="K7" t="s">
        <v>30</v>
      </c>
      <c r="L7" t="s">
        <v>42</v>
      </c>
      <c r="M7">
        <f>SalesTable[[#This Row],[Quantity]]*SalesTable[[#This Row],[Unit_Price]]</f>
        <v>285</v>
      </c>
      <c r="N7">
        <f>SalesTable[[#This Row],[Gross_Sales]]*(1-SalesTable[[#This Row],[Discount_Percent]]/100)</f>
        <v>285</v>
      </c>
    </row>
    <row r="8" spans="1:14" x14ac:dyDescent="0.3">
      <c r="A8" t="s">
        <v>43</v>
      </c>
      <c r="B8" s="1">
        <v>46031</v>
      </c>
      <c r="C8" t="s">
        <v>13</v>
      </c>
      <c r="D8" t="s">
        <v>14</v>
      </c>
      <c r="E8" t="s">
        <v>15</v>
      </c>
      <c r="F8" t="s">
        <v>44</v>
      </c>
      <c r="G8" t="s">
        <v>45</v>
      </c>
      <c r="H8">
        <v>1</v>
      </c>
      <c r="I8">
        <v>12500</v>
      </c>
      <c r="J8">
        <v>15</v>
      </c>
      <c r="K8" t="s">
        <v>30</v>
      </c>
      <c r="L8" t="s">
        <v>19</v>
      </c>
      <c r="M8">
        <f>SalesTable[[#This Row],[Quantity]]*SalesTable[[#This Row],[Unit_Price]]</f>
        <v>12500</v>
      </c>
      <c r="N8">
        <f>SalesTable[[#This Row],[Gross_Sales]]*(1-SalesTable[[#This Row],[Discount_Percent]]/100)</f>
        <v>10625</v>
      </c>
    </row>
    <row r="9" spans="1:14" x14ac:dyDescent="0.3">
      <c r="A9" t="s">
        <v>46</v>
      </c>
      <c r="B9" s="1">
        <v>46063</v>
      </c>
      <c r="C9" t="s">
        <v>27</v>
      </c>
      <c r="D9" t="s">
        <v>47</v>
      </c>
      <c r="E9" t="s">
        <v>37</v>
      </c>
      <c r="F9" t="s">
        <v>48</v>
      </c>
      <c r="G9" t="s">
        <v>49</v>
      </c>
      <c r="H9">
        <v>3</v>
      </c>
      <c r="I9">
        <v>1600</v>
      </c>
      <c r="J9">
        <v>15</v>
      </c>
      <c r="K9" t="s">
        <v>18</v>
      </c>
      <c r="L9" t="s">
        <v>19</v>
      </c>
      <c r="M9">
        <f>SalesTable[[#This Row],[Quantity]]*SalesTable[[#This Row],[Unit_Price]]</f>
        <v>4800</v>
      </c>
      <c r="N9">
        <f>SalesTable[[#This Row],[Gross_Sales]]*(1-SalesTable[[#This Row],[Discount_Percent]]/100)</f>
        <v>4080</v>
      </c>
    </row>
    <row r="10" spans="1:14" x14ac:dyDescent="0.3">
      <c r="A10" t="s">
        <v>50</v>
      </c>
      <c r="B10" s="1">
        <v>46025</v>
      </c>
      <c r="C10" t="s">
        <v>51</v>
      </c>
      <c r="D10" t="s">
        <v>28</v>
      </c>
      <c r="E10" t="s">
        <v>22</v>
      </c>
      <c r="F10" t="s">
        <v>23</v>
      </c>
      <c r="G10" t="s">
        <v>24</v>
      </c>
      <c r="H10">
        <v>1</v>
      </c>
      <c r="I10">
        <v>52000</v>
      </c>
      <c r="J10">
        <v>10</v>
      </c>
      <c r="K10" t="s">
        <v>52</v>
      </c>
      <c r="L10" t="s">
        <v>19</v>
      </c>
      <c r="M10">
        <f>SalesTable[[#This Row],[Quantity]]*SalesTable[[#This Row],[Unit_Price]]</f>
        <v>52000</v>
      </c>
      <c r="N10">
        <f>SalesTable[[#This Row],[Gross_Sales]]*(1-SalesTable[[#This Row],[Discount_Percent]]/100)</f>
        <v>46800</v>
      </c>
    </row>
    <row r="11" spans="1:14" x14ac:dyDescent="0.3">
      <c r="A11" t="s">
        <v>53</v>
      </c>
      <c r="B11" s="1">
        <v>46085</v>
      </c>
      <c r="C11" t="s">
        <v>54</v>
      </c>
      <c r="D11" t="s">
        <v>21</v>
      </c>
      <c r="E11" t="s">
        <v>29</v>
      </c>
      <c r="F11" t="s">
        <v>55</v>
      </c>
      <c r="G11" t="s">
        <v>45</v>
      </c>
      <c r="H11">
        <v>3</v>
      </c>
      <c r="I11">
        <v>7790</v>
      </c>
      <c r="J11">
        <v>15</v>
      </c>
      <c r="K11" t="s">
        <v>30</v>
      </c>
      <c r="L11" t="s">
        <v>34</v>
      </c>
      <c r="M11">
        <f>SalesTable[[#This Row],[Quantity]]*SalesTable[[#This Row],[Unit_Price]]</f>
        <v>23370</v>
      </c>
      <c r="N11">
        <f>SalesTable[[#This Row],[Gross_Sales]]*(1-SalesTable[[#This Row],[Discount_Percent]]/100)</f>
        <v>19864.5</v>
      </c>
    </row>
    <row r="12" spans="1:14" x14ac:dyDescent="0.3">
      <c r="A12" t="s">
        <v>56</v>
      </c>
      <c r="B12" s="1">
        <v>46048</v>
      </c>
      <c r="C12" t="s">
        <v>13</v>
      </c>
      <c r="D12" t="s">
        <v>14</v>
      </c>
      <c r="E12" t="s">
        <v>15</v>
      </c>
      <c r="F12" t="s">
        <v>40</v>
      </c>
      <c r="G12" t="s">
        <v>41</v>
      </c>
      <c r="H12">
        <v>4</v>
      </c>
      <c r="I12">
        <v>100</v>
      </c>
      <c r="J12">
        <v>0</v>
      </c>
      <c r="K12" t="s">
        <v>30</v>
      </c>
      <c r="L12" t="s">
        <v>19</v>
      </c>
      <c r="M12">
        <f>SalesTable[[#This Row],[Quantity]]*SalesTable[[#This Row],[Unit_Price]]</f>
        <v>400</v>
      </c>
      <c r="N12">
        <f>SalesTable[[#This Row],[Gross_Sales]]*(1-SalesTable[[#This Row],[Discount_Percent]]/100)</f>
        <v>400</v>
      </c>
    </row>
    <row r="13" spans="1:14" x14ac:dyDescent="0.3">
      <c r="A13" t="s">
        <v>57</v>
      </c>
      <c r="B13" s="1">
        <v>46063</v>
      </c>
      <c r="C13" t="s">
        <v>54</v>
      </c>
      <c r="D13" t="s">
        <v>14</v>
      </c>
      <c r="E13" t="s">
        <v>58</v>
      </c>
      <c r="F13" t="s">
        <v>16</v>
      </c>
      <c r="G13" t="s">
        <v>17</v>
      </c>
      <c r="H13">
        <v>3</v>
      </c>
      <c r="I13">
        <v>850</v>
      </c>
      <c r="J13">
        <v>0</v>
      </c>
      <c r="K13" t="s">
        <v>18</v>
      </c>
      <c r="L13" t="s">
        <v>19</v>
      </c>
      <c r="M13">
        <f>SalesTable[[#This Row],[Quantity]]*SalesTable[[#This Row],[Unit_Price]]</f>
        <v>2550</v>
      </c>
      <c r="N13">
        <f>SalesTable[[#This Row],[Gross_Sales]]*(1-SalesTable[[#This Row],[Discount_Percent]]/100)</f>
        <v>2550</v>
      </c>
    </row>
    <row r="14" spans="1:14" x14ac:dyDescent="0.3">
      <c r="A14" t="s">
        <v>59</v>
      </c>
      <c r="B14" s="1">
        <v>46032</v>
      </c>
      <c r="C14" t="s">
        <v>60</v>
      </c>
      <c r="D14" t="s">
        <v>33</v>
      </c>
      <c r="E14" t="s">
        <v>29</v>
      </c>
      <c r="F14" t="s">
        <v>48</v>
      </c>
      <c r="G14" t="s">
        <v>49</v>
      </c>
      <c r="H14">
        <v>4</v>
      </c>
      <c r="I14">
        <v>1680</v>
      </c>
      <c r="J14">
        <v>20</v>
      </c>
      <c r="K14" t="s">
        <v>30</v>
      </c>
      <c r="L14" t="s">
        <v>19</v>
      </c>
      <c r="M14">
        <f>SalesTable[[#This Row],[Quantity]]*SalesTable[[#This Row],[Unit_Price]]</f>
        <v>6720</v>
      </c>
      <c r="N14">
        <f>SalesTable[[#This Row],[Gross_Sales]]*(1-SalesTable[[#This Row],[Discount_Percent]]/100)</f>
        <v>5376</v>
      </c>
    </row>
    <row r="15" spans="1:14" x14ac:dyDescent="0.3">
      <c r="A15" t="s">
        <v>61</v>
      </c>
      <c r="B15" s="1">
        <v>46060</v>
      </c>
      <c r="C15" t="s">
        <v>54</v>
      </c>
      <c r="D15" t="s">
        <v>28</v>
      </c>
      <c r="E15" t="s">
        <v>58</v>
      </c>
      <c r="F15" t="s">
        <v>16</v>
      </c>
      <c r="G15" t="s">
        <v>17</v>
      </c>
      <c r="H15">
        <v>3</v>
      </c>
      <c r="I15">
        <v>850</v>
      </c>
      <c r="J15">
        <v>15</v>
      </c>
      <c r="K15" t="s">
        <v>25</v>
      </c>
      <c r="L15" t="s">
        <v>34</v>
      </c>
      <c r="M15">
        <f>SalesTable[[#This Row],[Quantity]]*SalesTable[[#This Row],[Unit_Price]]</f>
        <v>2550</v>
      </c>
      <c r="N15">
        <f>SalesTable[[#This Row],[Gross_Sales]]*(1-SalesTable[[#This Row],[Discount_Percent]]/100)</f>
        <v>2167.5</v>
      </c>
    </row>
    <row r="16" spans="1:14" x14ac:dyDescent="0.3">
      <c r="A16" t="s">
        <v>62</v>
      </c>
      <c r="B16" s="1">
        <v>46032</v>
      </c>
      <c r="C16" t="s">
        <v>51</v>
      </c>
      <c r="D16" t="s">
        <v>14</v>
      </c>
      <c r="E16" t="s">
        <v>63</v>
      </c>
      <c r="F16" t="s">
        <v>64</v>
      </c>
      <c r="G16" t="s">
        <v>24</v>
      </c>
      <c r="H16">
        <v>4</v>
      </c>
      <c r="I16">
        <v>2310</v>
      </c>
      <c r="J16">
        <v>10</v>
      </c>
      <c r="K16" t="s">
        <v>18</v>
      </c>
      <c r="L16" t="s">
        <v>19</v>
      </c>
      <c r="M16">
        <f>SalesTable[[#This Row],[Quantity]]*SalesTable[[#This Row],[Unit_Price]]</f>
        <v>9240</v>
      </c>
      <c r="N16">
        <f>SalesTable[[#This Row],[Gross_Sales]]*(1-SalesTable[[#This Row],[Discount_Percent]]/100)</f>
        <v>8316</v>
      </c>
    </row>
    <row r="17" spans="1:14" x14ac:dyDescent="0.3">
      <c r="A17" t="s">
        <v>65</v>
      </c>
      <c r="B17" s="1">
        <v>46029</v>
      </c>
      <c r="C17" t="s">
        <v>36</v>
      </c>
      <c r="D17" t="s">
        <v>21</v>
      </c>
      <c r="E17" t="s">
        <v>63</v>
      </c>
      <c r="F17" t="s">
        <v>44</v>
      </c>
      <c r="G17" t="s">
        <v>45</v>
      </c>
      <c r="H17">
        <v>1</v>
      </c>
      <c r="I17">
        <v>13125</v>
      </c>
      <c r="J17">
        <v>15</v>
      </c>
      <c r="K17" t="s">
        <v>30</v>
      </c>
      <c r="L17" t="s">
        <v>42</v>
      </c>
      <c r="M17">
        <f>SalesTable[[#This Row],[Quantity]]*SalesTable[[#This Row],[Unit_Price]]</f>
        <v>13125</v>
      </c>
      <c r="N17">
        <f>SalesTable[[#This Row],[Gross_Sales]]*(1-SalesTable[[#This Row],[Discount_Percent]]/100)</f>
        <v>11156.25</v>
      </c>
    </row>
    <row r="18" spans="1:14" x14ac:dyDescent="0.3">
      <c r="A18" t="s">
        <v>66</v>
      </c>
      <c r="B18" s="1">
        <v>46050</v>
      </c>
      <c r="C18" t="s">
        <v>13</v>
      </c>
      <c r="D18" t="s">
        <v>67</v>
      </c>
      <c r="E18" t="s">
        <v>22</v>
      </c>
      <c r="F18" t="s">
        <v>44</v>
      </c>
      <c r="G18" t="s">
        <v>45</v>
      </c>
      <c r="H18">
        <v>2</v>
      </c>
      <c r="I18">
        <v>12500</v>
      </c>
      <c r="J18">
        <v>10</v>
      </c>
      <c r="K18" t="s">
        <v>52</v>
      </c>
      <c r="L18" t="s">
        <v>42</v>
      </c>
      <c r="M18">
        <f>SalesTable[[#This Row],[Quantity]]*SalesTable[[#This Row],[Unit_Price]]</f>
        <v>25000</v>
      </c>
      <c r="N18">
        <f>SalesTable[[#This Row],[Gross_Sales]]*(1-SalesTable[[#This Row],[Discount_Percent]]/100)</f>
        <v>22500</v>
      </c>
    </row>
    <row r="19" spans="1:14" x14ac:dyDescent="0.3">
      <c r="A19" t="s">
        <v>68</v>
      </c>
      <c r="B19" s="1">
        <v>46096</v>
      </c>
      <c r="C19" t="s">
        <v>60</v>
      </c>
      <c r="D19" t="s">
        <v>14</v>
      </c>
      <c r="E19" t="s">
        <v>58</v>
      </c>
      <c r="F19" t="s">
        <v>69</v>
      </c>
      <c r="G19" t="s">
        <v>24</v>
      </c>
      <c r="H19">
        <v>1</v>
      </c>
      <c r="I19">
        <v>11500</v>
      </c>
      <c r="J19">
        <v>10</v>
      </c>
      <c r="K19" t="s">
        <v>25</v>
      </c>
      <c r="L19" t="s">
        <v>42</v>
      </c>
      <c r="M19">
        <f>SalesTable[[#This Row],[Quantity]]*SalesTable[[#This Row],[Unit_Price]]</f>
        <v>11500</v>
      </c>
      <c r="N19">
        <f>SalesTable[[#This Row],[Gross_Sales]]*(1-SalesTable[[#This Row],[Discount_Percent]]/100)</f>
        <v>10350</v>
      </c>
    </row>
    <row r="20" spans="1:14" x14ac:dyDescent="0.3">
      <c r="A20" t="s">
        <v>70</v>
      </c>
      <c r="B20" s="1">
        <v>46024</v>
      </c>
      <c r="C20" t="s">
        <v>13</v>
      </c>
      <c r="D20" t="s">
        <v>47</v>
      </c>
      <c r="E20" t="s">
        <v>63</v>
      </c>
      <c r="F20" t="s">
        <v>71</v>
      </c>
      <c r="G20" t="s">
        <v>24</v>
      </c>
      <c r="H20">
        <v>4</v>
      </c>
      <c r="I20">
        <v>1155</v>
      </c>
      <c r="J20">
        <v>0</v>
      </c>
      <c r="K20" t="s">
        <v>25</v>
      </c>
      <c r="L20" t="s">
        <v>19</v>
      </c>
      <c r="M20">
        <f>SalesTable[[#This Row],[Quantity]]*SalesTable[[#This Row],[Unit_Price]]</f>
        <v>4620</v>
      </c>
      <c r="N20">
        <f>SalesTable[[#This Row],[Gross_Sales]]*(1-SalesTable[[#This Row],[Discount_Percent]]/100)</f>
        <v>4620</v>
      </c>
    </row>
    <row r="21" spans="1:14" x14ac:dyDescent="0.3">
      <c r="A21" t="s">
        <v>72</v>
      </c>
      <c r="B21" s="1">
        <v>46057</v>
      </c>
      <c r="C21" t="s">
        <v>73</v>
      </c>
      <c r="D21" t="s">
        <v>21</v>
      </c>
      <c r="E21" t="s">
        <v>15</v>
      </c>
      <c r="F21" t="s">
        <v>44</v>
      </c>
      <c r="G21" t="s">
        <v>45</v>
      </c>
      <c r="H21">
        <v>1</v>
      </c>
      <c r="I21">
        <v>11875</v>
      </c>
      <c r="J21">
        <v>20</v>
      </c>
      <c r="K21" t="s">
        <v>52</v>
      </c>
      <c r="L21" t="s">
        <v>19</v>
      </c>
      <c r="M21">
        <f>SalesTable[[#This Row],[Quantity]]*SalesTable[[#This Row],[Unit_Price]]</f>
        <v>11875</v>
      </c>
      <c r="N21">
        <f>SalesTable[[#This Row],[Gross_Sales]]*(1-SalesTable[[#This Row],[Discount_Percent]]/100)</f>
        <v>9500</v>
      </c>
    </row>
    <row r="22" spans="1:14" x14ac:dyDescent="0.3">
      <c r="A22" t="s">
        <v>74</v>
      </c>
      <c r="B22" s="1">
        <v>46101</v>
      </c>
      <c r="C22" t="s">
        <v>39</v>
      </c>
      <c r="D22" t="s">
        <v>33</v>
      </c>
      <c r="E22" t="s">
        <v>37</v>
      </c>
      <c r="F22" t="s">
        <v>69</v>
      </c>
      <c r="G22" t="s">
        <v>24</v>
      </c>
      <c r="H22">
        <v>2</v>
      </c>
      <c r="I22">
        <v>11500</v>
      </c>
      <c r="J22">
        <v>10</v>
      </c>
      <c r="K22" t="s">
        <v>30</v>
      </c>
      <c r="L22" t="s">
        <v>19</v>
      </c>
      <c r="M22">
        <f>SalesTable[[#This Row],[Quantity]]*SalesTable[[#This Row],[Unit_Price]]</f>
        <v>23000</v>
      </c>
      <c r="N22">
        <f>SalesTable[[#This Row],[Gross_Sales]]*(1-SalesTable[[#This Row],[Discount_Percent]]/100)</f>
        <v>20700</v>
      </c>
    </row>
    <row r="23" spans="1:14" x14ac:dyDescent="0.3">
      <c r="A23" t="s">
        <v>75</v>
      </c>
      <c r="B23" s="1">
        <v>46030</v>
      </c>
      <c r="C23" t="s">
        <v>60</v>
      </c>
      <c r="D23" t="s">
        <v>33</v>
      </c>
      <c r="E23" t="s">
        <v>63</v>
      </c>
      <c r="F23" t="s">
        <v>76</v>
      </c>
      <c r="G23" t="s">
        <v>41</v>
      </c>
      <c r="H23">
        <v>1</v>
      </c>
      <c r="I23">
        <v>68.25</v>
      </c>
      <c r="J23">
        <v>15</v>
      </c>
      <c r="K23" t="s">
        <v>18</v>
      </c>
      <c r="L23" t="s">
        <v>19</v>
      </c>
      <c r="M23">
        <f>SalesTable[[#This Row],[Quantity]]*SalesTable[[#This Row],[Unit_Price]]</f>
        <v>68.25</v>
      </c>
      <c r="N23">
        <f>SalesTable[[#This Row],[Gross_Sales]]*(1-SalesTable[[#This Row],[Discount_Percent]]/100)</f>
        <v>58.012499999999996</v>
      </c>
    </row>
    <row r="24" spans="1:14" x14ac:dyDescent="0.3">
      <c r="A24" t="s">
        <v>77</v>
      </c>
      <c r="B24" s="1">
        <v>46074</v>
      </c>
      <c r="C24" t="s">
        <v>54</v>
      </c>
      <c r="D24" t="s">
        <v>21</v>
      </c>
      <c r="E24" t="s">
        <v>22</v>
      </c>
      <c r="F24" t="s">
        <v>44</v>
      </c>
      <c r="G24" t="s">
        <v>45</v>
      </c>
      <c r="H24">
        <v>2</v>
      </c>
      <c r="I24">
        <v>13125</v>
      </c>
      <c r="J24">
        <v>0</v>
      </c>
      <c r="K24" t="s">
        <v>52</v>
      </c>
      <c r="L24" t="s">
        <v>19</v>
      </c>
      <c r="M24">
        <f>SalesTable[[#This Row],[Quantity]]*SalesTable[[#This Row],[Unit_Price]]</f>
        <v>26250</v>
      </c>
      <c r="N24">
        <f>SalesTable[[#This Row],[Gross_Sales]]*(1-SalesTable[[#This Row],[Discount_Percent]]/100)</f>
        <v>26250</v>
      </c>
    </row>
    <row r="25" spans="1:14" x14ac:dyDescent="0.3">
      <c r="A25" t="s">
        <v>78</v>
      </c>
      <c r="B25" s="1">
        <v>46065</v>
      </c>
      <c r="C25" t="s">
        <v>27</v>
      </c>
      <c r="D25" t="s">
        <v>21</v>
      </c>
      <c r="E25" t="s">
        <v>63</v>
      </c>
      <c r="F25" t="s">
        <v>44</v>
      </c>
      <c r="G25" t="s">
        <v>45</v>
      </c>
      <c r="H25">
        <v>2</v>
      </c>
      <c r="I25">
        <v>11875</v>
      </c>
      <c r="J25">
        <v>10</v>
      </c>
      <c r="K25" t="s">
        <v>18</v>
      </c>
      <c r="L25" t="s">
        <v>34</v>
      </c>
      <c r="M25">
        <f>SalesTable[[#This Row],[Quantity]]*SalesTable[[#This Row],[Unit_Price]]</f>
        <v>23750</v>
      </c>
      <c r="N25">
        <f>SalesTable[[#This Row],[Gross_Sales]]*(1-SalesTable[[#This Row],[Discount_Percent]]/100)</f>
        <v>21375</v>
      </c>
    </row>
    <row r="26" spans="1:14" x14ac:dyDescent="0.3">
      <c r="A26" t="s">
        <v>79</v>
      </c>
      <c r="B26" s="1">
        <v>46032</v>
      </c>
      <c r="C26" t="s">
        <v>32</v>
      </c>
      <c r="D26" t="s">
        <v>47</v>
      </c>
      <c r="E26" t="s">
        <v>15</v>
      </c>
      <c r="F26" t="s">
        <v>69</v>
      </c>
      <c r="G26" t="s">
        <v>24</v>
      </c>
      <c r="H26">
        <v>2</v>
      </c>
      <c r="I26">
        <v>11500</v>
      </c>
      <c r="J26">
        <v>0</v>
      </c>
      <c r="K26" t="s">
        <v>25</v>
      </c>
      <c r="L26" t="s">
        <v>19</v>
      </c>
      <c r="M26">
        <f>SalesTable[[#This Row],[Quantity]]*SalesTable[[#This Row],[Unit_Price]]</f>
        <v>23000</v>
      </c>
      <c r="N26">
        <f>SalesTable[[#This Row],[Gross_Sales]]*(1-SalesTable[[#This Row],[Discount_Percent]]/100)</f>
        <v>23000</v>
      </c>
    </row>
    <row r="27" spans="1:14" x14ac:dyDescent="0.3">
      <c r="A27" t="s">
        <v>80</v>
      </c>
      <c r="B27" s="1">
        <v>46060</v>
      </c>
      <c r="C27" t="s">
        <v>73</v>
      </c>
      <c r="D27" t="s">
        <v>67</v>
      </c>
      <c r="E27" t="s">
        <v>58</v>
      </c>
      <c r="F27" t="s">
        <v>71</v>
      </c>
      <c r="G27" t="s">
        <v>24</v>
      </c>
      <c r="H27">
        <v>2</v>
      </c>
      <c r="I27">
        <v>1100</v>
      </c>
      <c r="J27">
        <v>15</v>
      </c>
      <c r="K27" t="s">
        <v>25</v>
      </c>
      <c r="L27" t="s">
        <v>42</v>
      </c>
      <c r="M27">
        <f>SalesTable[[#This Row],[Quantity]]*SalesTable[[#This Row],[Unit_Price]]</f>
        <v>2200</v>
      </c>
      <c r="N27">
        <f>SalesTable[[#This Row],[Gross_Sales]]*(1-SalesTable[[#This Row],[Discount_Percent]]/100)</f>
        <v>1870</v>
      </c>
    </row>
    <row r="28" spans="1:14" x14ac:dyDescent="0.3">
      <c r="A28" t="s">
        <v>81</v>
      </c>
      <c r="B28" s="1">
        <v>46044</v>
      </c>
      <c r="C28" t="s">
        <v>82</v>
      </c>
      <c r="D28" t="s">
        <v>21</v>
      </c>
      <c r="E28" t="s">
        <v>22</v>
      </c>
      <c r="F28" t="s">
        <v>83</v>
      </c>
      <c r="G28" t="s">
        <v>49</v>
      </c>
      <c r="H28">
        <v>2</v>
      </c>
      <c r="I28">
        <v>400</v>
      </c>
      <c r="J28">
        <v>10</v>
      </c>
      <c r="K28" t="s">
        <v>18</v>
      </c>
      <c r="L28" t="s">
        <v>34</v>
      </c>
      <c r="M28">
        <f>SalesTable[[#This Row],[Quantity]]*SalesTable[[#This Row],[Unit_Price]]</f>
        <v>800</v>
      </c>
      <c r="N28">
        <f>SalesTable[[#This Row],[Gross_Sales]]*(1-SalesTable[[#This Row],[Discount_Percent]]/100)</f>
        <v>720</v>
      </c>
    </row>
    <row r="29" spans="1:14" x14ac:dyDescent="0.3">
      <c r="A29" t="s">
        <v>84</v>
      </c>
      <c r="B29" s="1">
        <v>46042</v>
      </c>
      <c r="C29" t="s">
        <v>39</v>
      </c>
      <c r="D29" t="s">
        <v>67</v>
      </c>
      <c r="E29" t="s">
        <v>29</v>
      </c>
      <c r="F29" t="s">
        <v>69</v>
      </c>
      <c r="G29" t="s">
        <v>24</v>
      </c>
      <c r="H29">
        <v>1</v>
      </c>
      <c r="I29">
        <v>11500</v>
      </c>
      <c r="J29">
        <v>5</v>
      </c>
      <c r="K29" t="s">
        <v>25</v>
      </c>
      <c r="L29" t="s">
        <v>42</v>
      </c>
      <c r="M29">
        <f>SalesTable[[#This Row],[Quantity]]*SalesTable[[#This Row],[Unit_Price]]</f>
        <v>11500</v>
      </c>
      <c r="N29">
        <f>SalesTable[[#This Row],[Gross_Sales]]*(1-SalesTable[[#This Row],[Discount_Percent]]/100)</f>
        <v>10925</v>
      </c>
    </row>
    <row r="30" spans="1:14" x14ac:dyDescent="0.3">
      <c r="A30" t="s">
        <v>85</v>
      </c>
      <c r="B30" s="1">
        <v>46086</v>
      </c>
      <c r="C30" t="s">
        <v>13</v>
      </c>
      <c r="D30" t="s">
        <v>21</v>
      </c>
      <c r="E30" t="s">
        <v>63</v>
      </c>
      <c r="F30" t="s">
        <v>71</v>
      </c>
      <c r="G30" t="s">
        <v>24</v>
      </c>
      <c r="H30">
        <v>3</v>
      </c>
      <c r="I30">
        <v>1100</v>
      </c>
      <c r="J30">
        <v>5</v>
      </c>
      <c r="K30" t="s">
        <v>52</v>
      </c>
      <c r="L30" t="s">
        <v>19</v>
      </c>
      <c r="M30">
        <f>SalesTable[[#This Row],[Quantity]]*SalesTable[[#This Row],[Unit_Price]]</f>
        <v>3300</v>
      </c>
      <c r="N30">
        <f>SalesTable[[#This Row],[Gross_Sales]]*(1-SalesTable[[#This Row],[Discount_Percent]]/100)</f>
        <v>3135</v>
      </c>
    </row>
    <row r="31" spans="1:14" x14ac:dyDescent="0.3">
      <c r="A31" t="s">
        <v>86</v>
      </c>
      <c r="B31" s="1">
        <v>46078</v>
      </c>
      <c r="C31" t="s">
        <v>73</v>
      </c>
      <c r="D31" t="s">
        <v>21</v>
      </c>
      <c r="E31" t="s">
        <v>58</v>
      </c>
      <c r="F31" t="s">
        <v>44</v>
      </c>
      <c r="G31" t="s">
        <v>45</v>
      </c>
      <c r="H31">
        <v>2</v>
      </c>
      <c r="I31">
        <v>11875</v>
      </c>
      <c r="J31">
        <v>0</v>
      </c>
      <c r="K31" t="s">
        <v>30</v>
      </c>
      <c r="L31" t="s">
        <v>19</v>
      </c>
      <c r="M31">
        <f>SalesTable[[#This Row],[Quantity]]*SalesTable[[#This Row],[Unit_Price]]</f>
        <v>23750</v>
      </c>
      <c r="N31">
        <f>SalesTable[[#This Row],[Gross_Sales]]*(1-SalesTable[[#This Row],[Discount_Percent]]/100)</f>
        <v>23750</v>
      </c>
    </row>
    <row r="32" spans="1:14" x14ac:dyDescent="0.3">
      <c r="A32" t="s">
        <v>87</v>
      </c>
      <c r="B32" s="1">
        <v>46066</v>
      </c>
      <c r="C32" t="s">
        <v>51</v>
      </c>
      <c r="D32" t="s">
        <v>47</v>
      </c>
      <c r="E32" t="s">
        <v>63</v>
      </c>
      <c r="F32" t="s">
        <v>55</v>
      </c>
      <c r="G32" t="s">
        <v>45</v>
      </c>
      <c r="H32">
        <v>1</v>
      </c>
      <c r="I32">
        <v>8200</v>
      </c>
      <c r="J32">
        <v>0</v>
      </c>
      <c r="K32" t="s">
        <v>18</v>
      </c>
      <c r="L32" t="s">
        <v>19</v>
      </c>
      <c r="M32">
        <f>SalesTable[[#This Row],[Quantity]]*SalesTable[[#This Row],[Unit_Price]]</f>
        <v>8200</v>
      </c>
      <c r="N32">
        <f>SalesTable[[#This Row],[Gross_Sales]]*(1-SalesTable[[#This Row],[Discount_Percent]]/100)</f>
        <v>8200</v>
      </c>
    </row>
    <row r="33" spans="1:14" x14ac:dyDescent="0.3">
      <c r="A33" t="s">
        <v>88</v>
      </c>
      <c r="B33" s="1">
        <v>46078</v>
      </c>
      <c r="C33" t="s">
        <v>73</v>
      </c>
      <c r="D33" t="s">
        <v>28</v>
      </c>
      <c r="E33" t="s">
        <v>15</v>
      </c>
      <c r="F33" t="s">
        <v>76</v>
      </c>
      <c r="G33" t="s">
        <v>41</v>
      </c>
      <c r="H33">
        <v>3</v>
      </c>
      <c r="I33">
        <v>65</v>
      </c>
      <c r="J33">
        <v>5</v>
      </c>
      <c r="K33" t="s">
        <v>30</v>
      </c>
      <c r="L33" t="s">
        <v>19</v>
      </c>
      <c r="M33">
        <f>SalesTable[[#This Row],[Quantity]]*SalesTable[[#This Row],[Unit_Price]]</f>
        <v>195</v>
      </c>
      <c r="N33">
        <f>SalesTable[[#This Row],[Gross_Sales]]*(1-SalesTable[[#This Row],[Discount_Percent]]/100)</f>
        <v>185.25</v>
      </c>
    </row>
    <row r="34" spans="1:14" x14ac:dyDescent="0.3">
      <c r="A34" t="s">
        <v>89</v>
      </c>
      <c r="B34" s="1">
        <v>46071</v>
      </c>
      <c r="C34" t="s">
        <v>13</v>
      </c>
      <c r="D34" t="s">
        <v>33</v>
      </c>
      <c r="E34" t="s">
        <v>22</v>
      </c>
      <c r="F34" t="s">
        <v>64</v>
      </c>
      <c r="G34" t="s">
        <v>24</v>
      </c>
      <c r="H34">
        <v>3</v>
      </c>
      <c r="I34">
        <v>2310</v>
      </c>
      <c r="J34">
        <v>10</v>
      </c>
      <c r="K34" t="s">
        <v>30</v>
      </c>
      <c r="L34" t="s">
        <v>19</v>
      </c>
      <c r="M34">
        <f>SalesTable[[#This Row],[Quantity]]*SalesTable[[#This Row],[Unit_Price]]</f>
        <v>6930</v>
      </c>
      <c r="N34">
        <f>SalesTable[[#This Row],[Gross_Sales]]*(1-SalesTable[[#This Row],[Discount_Percent]]/100)</f>
        <v>6237</v>
      </c>
    </row>
    <row r="35" spans="1:14" x14ac:dyDescent="0.3">
      <c r="A35" t="s">
        <v>90</v>
      </c>
      <c r="B35" s="1">
        <v>46068</v>
      </c>
      <c r="C35" t="s">
        <v>51</v>
      </c>
      <c r="D35" t="s">
        <v>67</v>
      </c>
      <c r="E35" t="s">
        <v>58</v>
      </c>
      <c r="F35" t="s">
        <v>23</v>
      </c>
      <c r="G35" t="s">
        <v>24</v>
      </c>
      <c r="H35">
        <v>1</v>
      </c>
      <c r="I35">
        <v>49400</v>
      </c>
      <c r="J35">
        <v>15</v>
      </c>
      <c r="K35" t="s">
        <v>18</v>
      </c>
      <c r="L35" t="s">
        <v>19</v>
      </c>
      <c r="M35">
        <f>SalesTable[[#This Row],[Quantity]]*SalesTable[[#This Row],[Unit_Price]]</f>
        <v>49400</v>
      </c>
      <c r="N35">
        <f>SalesTable[[#This Row],[Gross_Sales]]*(1-SalesTable[[#This Row],[Discount_Percent]]/100)</f>
        <v>41990</v>
      </c>
    </row>
    <row r="36" spans="1:14" x14ac:dyDescent="0.3">
      <c r="A36" t="s">
        <v>91</v>
      </c>
      <c r="B36" s="1">
        <v>46050</v>
      </c>
      <c r="C36" t="s">
        <v>39</v>
      </c>
      <c r="D36" t="s">
        <v>14</v>
      </c>
      <c r="E36" t="s">
        <v>22</v>
      </c>
      <c r="F36" t="s">
        <v>40</v>
      </c>
      <c r="G36" t="s">
        <v>41</v>
      </c>
      <c r="H36">
        <v>2</v>
      </c>
      <c r="I36">
        <v>105</v>
      </c>
      <c r="J36">
        <v>20</v>
      </c>
      <c r="K36" t="s">
        <v>30</v>
      </c>
      <c r="L36" t="s">
        <v>19</v>
      </c>
      <c r="M36">
        <f>SalesTable[[#This Row],[Quantity]]*SalesTable[[#This Row],[Unit_Price]]</f>
        <v>210</v>
      </c>
      <c r="N36">
        <f>SalesTable[[#This Row],[Gross_Sales]]*(1-SalesTable[[#This Row],[Discount_Percent]]/100)</f>
        <v>168</v>
      </c>
    </row>
    <row r="37" spans="1:14" x14ac:dyDescent="0.3">
      <c r="A37" t="s">
        <v>92</v>
      </c>
      <c r="B37" s="1">
        <v>46081</v>
      </c>
      <c r="C37" t="s">
        <v>39</v>
      </c>
      <c r="D37" t="s">
        <v>47</v>
      </c>
      <c r="E37" t="s">
        <v>15</v>
      </c>
      <c r="F37" t="s">
        <v>48</v>
      </c>
      <c r="G37" t="s">
        <v>49</v>
      </c>
      <c r="H37">
        <v>4</v>
      </c>
      <c r="I37">
        <v>1520</v>
      </c>
      <c r="J37">
        <v>15</v>
      </c>
      <c r="K37" t="s">
        <v>30</v>
      </c>
      <c r="L37" t="s">
        <v>42</v>
      </c>
      <c r="M37">
        <f>SalesTable[[#This Row],[Quantity]]*SalesTable[[#This Row],[Unit_Price]]</f>
        <v>6080</v>
      </c>
      <c r="N37">
        <f>SalesTable[[#This Row],[Gross_Sales]]*(1-SalesTable[[#This Row],[Discount_Percent]]/100)</f>
        <v>5168</v>
      </c>
    </row>
    <row r="38" spans="1:14" x14ac:dyDescent="0.3">
      <c r="A38" t="s">
        <v>93</v>
      </c>
      <c r="B38" s="1">
        <v>46039</v>
      </c>
      <c r="C38" t="s">
        <v>39</v>
      </c>
      <c r="D38" t="s">
        <v>67</v>
      </c>
      <c r="E38" t="s">
        <v>58</v>
      </c>
      <c r="F38" t="s">
        <v>40</v>
      </c>
      <c r="G38" t="s">
        <v>41</v>
      </c>
      <c r="H38">
        <v>4</v>
      </c>
      <c r="I38">
        <v>95</v>
      </c>
      <c r="J38">
        <v>0</v>
      </c>
      <c r="K38" t="s">
        <v>25</v>
      </c>
      <c r="L38" t="s">
        <v>34</v>
      </c>
      <c r="M38">
        <f>SalesTable[[#This Row],[Quantity]]*SalesTable[[#This Row],[Unit_Price]]</f>
        <v>380</v>
      </c>
      <c r="N38">
        <f>SalesTable[[#This Row],[Gross_Sales]]*(1-SalesTable[[#This Row],[Discount_Percent]]/100)</f>
        <v>380</v>
      </c>
    </row>
    <row r="39" spans="1:14" x14ac:dyDescent="0.3">
      <c r="A39" t="s">
        <v>94</v>
      </c>
      <c r="B39" s="1">
        <v>46064</v>
      </c>
      <c r="C39" t="s">
        <v>32</v>
      </c>
      <c r="D39" t="s">
        <v>14</v>
      </c>
      <c r="E39" t="s">
        <v>63</v>
      </c>
      <c r="F39" t="s">
        <v>40</v>
      </c>
      <c r="G39" t="s">
        <v>41</v>
      </c>
      <c r="H39">
        <v>3</v>
      </c>
      <c r="I39">
        <v>100</v>
      </c>
      <c r="J39">
        <v>10</v>
      </c>
      <c r="K39" t="s">
        <v>52</v>
      </c>
      <c r="L39" t="s">
        <v>34</v>
      </c>
      <c r="M39">
        <f>SalesTable[[#This Row],[Quantity]]*SalesTable[[#This Row],[Unit_Price]]</f>
        <v>300</v>
      </c>
      <c r="N39">
        <f>SalesTable[[#This Row],[Gross_Sales]]*(1-SalesTable[[#This Row],[Discount_Percent]]/100)</f>
        <v>270</v>
      </c>
    </row>
    <row r="40" spans="1:14" x14ac:dyDescent="0.3">
      <c r="A40" t="s">
        <v>95</v>
      </c>
      <c r="B40" s="1">
        <v>46035</v>
      </c>
      <c r="C40" t="s">
        <v>27</v>
      </c>
      <c r="D40" t="s">
        <v>67</v>
      </c>
      <c r="E40" t="s">
        <v>37</v>
      </c>
      <c r="F40" t="s">
        <v>69</v>
      </c>
      <c r="G40" t="s">
        <v>24</v>
      </c>
      <c r="H40">
        <v>2</v>
      </c>
      <c r="I40">
        <v>12075</v>
      </c>
      <c r="J40">
        <v>5</v>
      </c>
      <c r="K40" t="s">
        <v>25</v>
      </c>
      <c r="L40" t="s">
        <v>19</v>
      </c>
      <c r="M40">
        <f>SalesTable[[#This Row],[Quantity]]*SalesTable[[#This Row],[Unit_Price]]</f>
        <v>24150</v>
      </c>
      <c r="N40">
        <f>SalesTable[[#This Row],[Gross_Sales]]*(1-SalesTable[[#This Row],[Discount_Percent]]/100)</f>
        <v>22942.5</v>
      </c>
    </row>
    <row r="41" spans="1:14" x14ac:dyDescent="0.3">
      <c r="A41" t="s">
        <v>96</v>
      </c>
      <c r="B41" s="1">
        <v>46041</v>
      </c>
      <c r="C41" t="s">
        <v>54</v>
      </c>
      <c r="D41" t="s">
        <v>33</v>
      </c>
      <c r="E41" t="s">
        <v>22</v>
      </c>
      <c r="F41" t="s">
        <v>64</v>
      </c>
      <c r="G41" t="s">
        <v>24</v>
      </c>
      <c r="H41">
        <v>2</v>
      </c>
      <c r="I41">
        <v>2200</v>
      </c>
      <c r="J41">
        <v>10</v>
      </c>
      <c r="K41" t="s">
        <v>52</v>
      </c>
      <c r="L41" t="s">
        <v>19</v>
      </c>
      <c r="M41">
        <f>SalesTable[[#This Row],[Quantity]]*SalesTable[[#This Row],[Unit_Price]]</f>
        <v>4400</v>
      </c>
      <c r="N41">
        <f>SalesTable[[#This Row],[Gross_Sales]]*(1-SalesTable[[#This Row],[Discount_Percent]]/100)</f>
        <v>3960</v>
      </c>
    </row>
    <row r="42" spans="1:14" x14ac:dyDescent="0.3">
      <c r="A42" t="s">
        <v>97</v>
      </c>
      <c r="B42" s="1">
        <v>46105</v>
      </c>
      <c r="C42" t="s">
        <v>32</v>
      </c>
      <c r="D42" t="s">
        <v>21</v>
      </c>
      <c r="E42" t="s">
        <v>22</v>
      </c>
      <c r="F42" t="s">
        <v>55</v>
      </c>
      <c r="G42" t="s">
        <v>45</v>
      </c>
      <c r="H42">
        <v>3</v>
      </c>
      <c r="I42">
        <v>8200</v>
      </c>
      <c r="J42">
        <v>15</v>
      </c>
      <c r="K42" t="s">
        <v>52</v>
      </c>
      <c r="L42" t="s">
        <v>19</v>
      </c>
      <c r="M42">
        <f>SalesTable[[#This Row],[Quantity]]*SalesTable[[#This Row],[Unit_Price]]</f>
        <v>24600</v>
      </c>
      <c r="N42">
        <f>SalesTable[[#This Row],[Gross_Sales]]*(1-SalesTable[[#This Row],[Discount_Percent]]/100)</f>
        <v>20910</v>
      </c>
    </row>
    <row r="43" spans="1:14" x14ac:dyDescent="0.3">
      <c r="A43" t="s">
        <v>98</v>
      </c>
      <c r="B43" s="1">
        <v>46030</v>
      </c>
      <c r="C43" t="s">
        <v>13</v>
      </c>
      <c r="D43" t="s">
        <v>47</v>
      </c>
      <c r="E43" t="s">
        <v>29</v>
      </c>
      <c r="F43" t="s">
        <v>99</v>
      </c>
      <c r="G43" t="s">
        <v>24</v>
      </c>
      <c r="H43">
        <v>3</v>
      </c>
      <c r="I43">
        <v>617.5</v>
      </c>
      <c r="J43">
        <v>5</v>
      </c>
      <c r="K43" t="s">
        <v>25</v>
      </c>
      <c r="L43" t="s">
        <v>19</v>
      </c>
      <c r="M43">
        <f>SalesTable[[#This Row],[Quantity]]*SalesTable[[#This Row],[Unit_Price]]</f>
        <v>1852.5</v>
      </c>
      <c r="N43">
        <f>SalesTable[[#This Row],[Gross_Sales]]*(1-SalesTable[[#This Row],[Discount_Percent]]/100)</f>
        <v>1759.875</v>
      </c>
    </row>
    <row r="44" spans="1:14" x14ac:dyDescent="0.3">
      <c r="A44" t="s">
        <v>100</v>
      </c>
      <c r="B44" s="1">
        <v>46070</v>
      </c>
      <c r="C44" t="s">
        <v>36</v>
      </c>
      <c r="D44" t="s">
        <v>67</v>
      </c>
      <c r="E44" t="s">
        <v>58</v>
      </c>
      <c r="F44" t="s">
        <v>16</v>
      </c>
      <c r="G44" t="s">
        <v>17</v>
      </c>
      <c r="H44">
        <v>1</v>
      </c>
      <c r="I44">
        <v>807.5</v>
      </c>
      <c r="J44">
        <v>5</v>
      </c>
      <c r="K44" t="s">
        <v>25</v>
      </c>
      <c r="L44" t="s">
        <v>19</v>
      </c>
      <c r="M44">
        <f>SalesTable[[#This Row],[Quantity]]*SalesTable[[#This Row],[Unit_Price]]</f>
        <v>807.5</v>
      </c>
      <c r="N44">
        <f>SalesTable[[#This Row],[Gross_Sales]]*(1-SalesTable[[#This Row],[Discount_Percent]]/100)</f>
        <v>767.125</v>
      </c>
    </row>
    <row r="45" spans="1:14" x14ac:dyDescent="0.3">
      <c r="A45" t="s">
        <v>101</v>
      </c>
      <c r="B45" s="1">
        <v>46067</v>
      </c>
      <c r="C45" t="s">
        <v>60</v>
      </c>
      <c r="D45" t="s">
        <v>14</v>
      </c>
      <c r="E45" t="s">
        <v>58</v>
      </c>
      <c r="F45" t="s">
        <v>64</v>
      </c>
      <c r="G45" t="s">
        <v>24</v>
      </c>
      <c r="H45">
        <v>1</v>
      </c>
      <c r="I45">
        <v>2090</v>
      </c>
      <c r="J45">
        <v>0</v>
      </c>
      <c r="K45" t="s">
        <v>52</v>
      </c>
      <c r="L45" t="s">
        <v>19</v>
      </c>
      <c r="M45">
        <f>SalesTable[[#This Row],[Quantity]]*SalesTable[[#This Row],[Unit_Price]]</f>
        <v>2090</v>
      </c>
      <c r="N45">
        <f>SalesTable[[#This Row],[Gross_Sales]]*(1-SalesTable[[#This Row],[Discount_Percent]]/100)</f>
        <v>2090</v>
      </c>
    </row>
    <row r="46" spans="1:14" x14ac:dyDescent="0.3">
      <c r="A46" t="s">
        <v>102</v>
      </c>
      <c r="B46" s="1">
        <v>46109</v>
      </c>
      <c r="C46" t="s">
        <v>51</v>
      </c>
      <c r="D46" t="s">
        <v>14</v>
      </c>
      <c r="E46" t="s">
        <v>15</v>
      </c>
      <c r="F46" t="s">
        <v>99</v>
      </c>
      <c r="G46" t="s">
        <v>24</v>
      </c>
      <c r="H46">
        <v>4</v>
      </c>
      <c r="I46">
        <v>617.5</v>
      </c>
      <c r="J46">
        <v>0</v>
      </c>
      <c r="K46" t="s">
        <v>25</v>
      </c>
      <c r="L46" t="s">
        <v>19</v>
      </c>
      <c r="M46">
        <f>SalesTable[[#This Row],[Quantity]]*SalesTable[[#This Row],[Unit_Price]]</f>
        <v>2470</v>
      </c>
      <c r="N46">
        <f>SalesTable[[#This Row],[Gross_Sales]]*(1-SalesTable[[#This Row],[Discount_Percent]]/100)</f>
        <v>2470</v>
      </c>
    </row>
    <row r="47" spans="1:14" x14ac:dyDescent="0.3">
      <c r="A47" t="s">
        <v>103</v>
      </c>
      <c r="B47" s="1">
        <v>46098</v>
      </c>
      <c r="C47" t="s">
        <v>73</v>
      </c>
      <c r="D47" t="s">
        <v>33</v>
      </c>
      <c r="E47" t="s">
        <v>63</v>
      </c>
      <c r="F47" t="s">
        <v>48</v>
      </c>
      <c r="G47" t="s">
        <v>49</v>
      </c>
      <c r="H47">
        <v>3</v>
      </c>
      <c r="I47">
        <v>1520</v>
      </c>
      <c r="J47">
        <v>10</v>
      </c>
      <c r="K47" t="s">
        <v>30</v>
      </c>
      <c r="L47" t="s">
        <v>19</v>
      </c>
      <c r="M47">
        <f>SalesTable[[#This Row],[Quantity]]*SalesTable[[#This Row],[Unit_Price]]</f>
        <v>4560</v>
      </c>
      <c r="N47">
        <f>SalesTable[[#This Row],[Gross_Sales]]*(1-SalesTable[[#This Row],[Discount_Percent]]/100)</f>
        <v>4104</v>
      </c>
    </row>
    <row r="48" spans="1:14" x14ac:dyDescent="0.3">
      <c r="A48" t="s">
        <v>104</v>
      </c>
      <c r="B48" s="1">
        <v>46100</v>
      </c>
      <c r="C48" t="s">
        <v>36</v>
      </c>
      <c r="D48" t="s">
        <v>21</v>
      </c>
      <c r="E48" t="s">
        <v>37</v>
      </c>
      <c r="F48" t="s">
        <v>48</v>
      </c>
      <c r="G48" t="s">
        <v>49</v>
      </c>
      <c r="H48">
        <v>3</v>
      </c>
      <c r="I48">
        <v>1600</v>
      </c>
      <c r="J48">
        <v>10</v>
      </c>
      <c r="K48" t="s">
        <v>52</v>
      </c>
      <c r="L48" t="s">
        <v>34</v>
      </c>
      <c r="M48">
        <f>SalesTable[[#This Row],[Quantity]]*SalesTable[[#This Row],[Unit_Price]]</f>
        <v>4800</v>
      </c>
      <c r="N48">
        <f>SalesTable[[#This Row],[Gross_Sales]]*(1-SalesTable[[#This Row],[Discount_Percent]]/100)</f>
        <v>4320</v>
      </c>
    </row>
    <row r="49" spans="1:14" x14ac:dyDescent="0.3">
      <c r="A49" t="s">
        <v>105</v>
      </c>
      <c r="B49" s="1">
        <v>46064</v>
      </c>
      <c r="C49" t="s">
        <v>60</v>
      </c>
      <c r="D49" t="s">
        <v>47</v>
      </c>
      <c r="E49" t="s">
        <v>15</v>
      </c>
      <c r="F49" t="s">
        <v>23</v>
      </c>
      <c r="G49" t="s">
        <v>24</v>
      </c>
      <c r="H49">
        <v>2</v>
      </c>
      <c r="I49">
        <v>49400</v>
      </c>
      <c r="J49">
        <v>10</v>
      </c>
      <c r="K49" t="s">
        <v>52</v>
      </c>
      <c r="L49" t="s">
        <v>34</v>
      </c>
      <c r="M49">
        <f>SalesTable[[#This Row],[Quantity]]*SalesTable[[#This Row],[Unit_Price]]</f>
        <v>98800</v>
      </c>
      <c r="N49">
        <f>SalesTable[[#This Row],[Gross_Sales]]*(1-SalesTable[[#This Row],[Discount_Percent]]/100)</f>
        <v>88920</v>
      </c>
    </row>
    <row r="50" spans="1:14" x14ac:dyDescent="0.3">
      <c r="A50" t="s">
        <v>106</v>
      </c>
      <c r="B50" s="1">
        <v>46100</v>
      </c>
      <c r="C50" t="s">
        <v>73</v>
      </c>
      <c r="D50" t="s">
        <v>28</v>
      </c>
      <c r="E50" t="s">
        <v>29</v>
      </c>
      <c r="F50" t="s">
        <v>69</v>
      </c>
      <c r="G50" t="s">
        <v>24</v>
      </c>
      <c r="H50">
        <v>2</v>
      </c>
      <c r="I50">
        <v>11500</v>
      </c>
      <c r="J50">
        <v>20</v>
      </c>
      <c r="K50" t="s">
        <v>30</v>
      </c>
      <c r="L50" t="s">
        <v>19</v>
      </c>
      <c r="M50">
        <f>SalesTable[[#This Row],[Quantity]]*SalesTable[[#This Row],[Unit_Price]]</f>
        <v>23000</v>
      </c>
      <c r="N50">
        <f>SalesTable[[#This Row],[Gross_Sales]]*(1-SalesTable[[#This Row],[Discount_Percent]]/100)</f>
        <v>18400</v>
      </c>
    </row>
    <row r="51" spans="1:14" x14ac:dyDescent="0.3">
      <c r="A51" t="s">
        <v>107</v>
      </c>
      <c r="B51" s="1">
        <v>46042</v>
      </c>
      <c r="C51" t="s">
        <v>82</v>
      </c>
      <c r="D51" t="s">
        <v>28</v>
      </c>
      <c r="E51" t="s">
        <v>63</v>
      </c>
      <c r="F51" t="s">
        <v>48</v>
      </c>
      <c r="G51" t="s">
        <v>49</v>
      </c>
      <c r="H51">
        <v>3</v>
      </c>
      <c r="I51">
        <v>1520</v>
      </c>
      <c r="J51">
        <v>5</v>
      </c>
      <c r="K51" t="s">
        <v>25</v>
      </c>
      <c r="L51" t="s">
        <v>19</v>
      </c>
      <c r="M51">
        <f>SalesTable[[#This Row],[Quantity]]*SalesTable[[#This Row],[Unit_Price]]</f>
        <v>4560</v>
      </c>
      <c r="N51">
        <f>SalesTable[[#This Row],[Gross_Sales]]*(1-SalesTable[[#This Row],[Discount_Percent]]/100)</f>
        <v>4332</v>
      </c>
    </row>
    <row r="52" spans="1:14" x14ac:dyDescent="0.3">
      <c r="A52" t="s">
        <v>108</v>
      </c>
      <c r="B52" s="1">
        <v>46085</v>
      </c>
      <c r="C52" t="s">
        <v>60</v>
      </c>
      <c r="D52" t="s">
        <v>67</v>
      </c>
      <c r="E52" t="s">
        <v>58</v>
      </c>
      <c r="F52" t="s">
        <v>69</v>
      </c>
      <c r="G52" t="s">
        <v>24</v>
      </c>
      <c r="H52">
        <v>2</v>
      </c>
      <c r="I52">
        <v>10925</v>
      </c>
      <c r="J52">
        <v>20</v>
      </c>
      <c r="K52" t="s">
        <v>18</v>
      </c>
      <c r="L52" t="s">
        <v>42</v>
      </c>
      <c r="M52">
        <f>SalesTable[[#This Row],[Quantity]]*SalesTable[[#This Row],[Unit_Price]]</f>
        <v>21850</v>
      </c>
      <c r="N52">
        <f>SalesTable[[#This Row],[Gross_Sales]]*(1-SalesTable[[#This Row],[Discount_Percent]]/100)</f>
        <v>17480</v>
      </c>
    </row>
    <row r="53" spans="1:14" x14ac:dyDescent="0.3">
      <c r="A53" t="s">
        <v>109</v>
      </c>
      <c r="B53" s="1">
        <v>46051</v>
      </c>
      <c r="C53" t="s">
        <v>36</v>
      </c>
      <c r="D53" t="s">
        <v>14</v>
      </c>
      <c r="E53" t="s">
        <v>15</v>
      </c>
      <c r="F53" t="s">
        <v>64</v>
      </c>
      <c r="G53" t="s">
        <v>24</v>
      </c>
      <c r="H53">
        <v>4</v>
      </c>
      <c r="I53">
        <v>2200</v>
      </c>
      <c r="J53">
        <v>5</v>
      </c>
      <c r="K53" t="s">
        <v>25</v>
      </c>
      <c r="L53" t="s">
        <v>19</v>
      </c>
      <c r="M53">
        <f>SalesTable[[#This Row],[Quantity]]*SalesTable[[#This Row],[Unit_Price]]</f>
        <v>8800</v>
      </c>
      <c r="N53">
        <f>SalesTable[[#This Row],[Gross_Sales]]*(1-SalesTable[[#This Row],[Discount_Percent]]/100)</f>
        <v>8360</v>
      </c>
    </row>
    <row r="54" spans="1:14" x14ac:dyDescent="0.3">
      <c r="A54" t="s">
        <v>110</v>
      </c>
      <c r="B54" s="1">
        <v>46090</v>
      </c>
      <c r="C54" t="s">
        <v>51</v>
      </c>
      <c r="D54" t="s">
        <v>14</v>
      </c>
      <c r="E54" t="s">
        <v>58</v>
      </c>
      <c r="F54" t="s">
        <v>64</v>
      </c>
      <c r="G54" t="s">
        <v>24</v>
      </c>
      <c r="H54">
        <v>1</v>
      </c>
      <c r="I54">
        <v>2200</v>
      </c>
      <c r="J54">
        <v>10</v>
      </c>
      <c r="K54" t="s">
        <v>18</v>
      </c>
      <c r="L54" t="s">
        <v>34</v>
      </c>
      <c r="M54">
        <f>SalesTable[[#This Row],[Quantity]]*SalesTable[[#This Row],[Unit_Price]]</f>
        <v>2200</v>
      </c>
      <c r="N54">
        <f>SalesTable[[#This Row],[Gross_Sales]]*(1-SalesTable[[#This Row],[Discount_Percent]]/100)</f>
        <v>1980</v>
      </c>
    </row>
    <row r="55" spans="1:14" x14ac:dyDescent="0.3">
      <c r="A55" t="s">
        <v>111</v>
      </c>
      <c r="B55" s="1">
        <v>46038</v>
      </c>
      <c r="C55" t="s">
        <v>39</v>
      </c>
      <c r="D55" t="s">
        <v>33</v>
      </c>
      <c r="E55" t="s">
        <v>22</v>
      </c>
      <c r="F55" t="s">
        <v>83</v>
      </c>
      <c r="G55" t="s">
        <v>49</v>
      </c>
      <c r="H55">
        <v>1</v>
      </c>
      <c r="I55">
        <v>400</v>
      </c>
      <c r="J55">
        <v>0</v>
      </c>
      <c r="K55" t="s">
        <v>18</v>
      </c>
      <c r="L55" t="s">
        <v>19</v>
      </c>
      <c r="M55">
        <f>SalesTable[[#This Row],[Quantity]]*SalesTable[[#This Row],[Unit_Price]]</f>
        <v>400</v>
      </c>
      <c r="N55">
        <f>SalesTable[[#This Row],[Gross_Sales]]*(1-SalesTable[[#This Row],[Discount_Percent]]/100)</f>
        <v>400</v>
      </c>
    </row>
    <row r="56" spans="1:14" x14ac:dyDescent="0.3">
      <c r="A56" t="s">
        <v>112</v>
      </c>
      <c r="B56" s="1">
        <v>46091</v>
      </c>
      <c r="C56" t="s">
        <v>60</v>
      </c>
      <c r="D56" t="s">
        <v>21</v>
      </c>
      <c r="E56" t="s">
        <v>37</v>
      </c>
      <c r="F56" t="s">
        <v>76</v>
      </c>
      <c r="G56" t="s">
        <v>41</v>
      </c>
      <c r="H56">
        <v>4</v>
      </c>
      <c r="I56">
        <v>61.75</v>
      </c>
      <c r="J56">
        <v>0</v>
      </c>
      <c r="K56" t="s">
        <v>18</v>
      </c>
      <c r="L56" t="s">
        <v>42</v>
      </c>
      <c r="M56">
        <f>SalesTable[[#This Row],[Quantity]]*SalesTable[[#This Row],[Unit_Price]]</f>
        <v>247</v>
      </c>
      <c r="N56">
        <f>SalesTable[[#This Row],[Gross_Sales]]*(1-SalesTable[[#This Row],[Discount_Percent]]/100)</f>
        <v>247</v>
      </c>
    </row>
    <row r="57" spans="1:14" x14ac:dyDescent="0.3">
      <c r="A57" t="s">
        <v>113</v>
      </c>
      <c r="B57" s="1">
        <v>46097</v>
      </c>
      <c r="C57" t="s">
        <v>82</v>
      </c>
      <c r="D57" t="s">
        <v>28</v>
      </c>
      <c r="E57" t="s">
        <v>22</v>
      </c>
      <c r="F57" t="s">
        <v>44</v>
      </c>
      <c r="G57" t="s">
        <v>45</v>
      </c>
      <c r="H57">
        <v>1</v>
      </c>
      <c r="I57">
        <v>12500</v>
      </c>
      <c r="J57">
        <v>15</v>
      </c>
      <c r="K57" t="s">
        <v>30</v>
      </c>
      <c r="L57" t="s">
        <v>19</v>
      </c>
      <c r="M57">
        <f>SalesTable[[#This Row],[Quantity]]*SalesTable[[#This Row],[Unit_Price]]</f>
        <v>12500</v>
      </c>
      <c r="N57">
        <f>SalesTable[[#This Row],[Gross_Sales]]*(1-SalesTable[[#This Row],[Discount_Percent]]/100)</f>
        <v>10625</v>
      </c>
    </row>
    <row r="58" spans="1:14" x14ac:dyDescent="0.3">
      <c r="A58" t="s">
        <v>114</v>
      </c>
      <c r="B58" s="1">
        <v>46037</v>
      </c>
      <c r="C58" t="s">
        <v>27</v>
      </c>
      <c r="D58" t="s">
        <v>33</v>
      </c>
      <c r="E58" t="s">
        <v>63</v>
      </c>
      <c r="F58" t="s">
        <v>83</v>
      </c>
      <c r="G58" t="s">
        <v>49</v>
      </c>
      <c r="H58">
        <v>4</v>
      </c>
      <c r="I58">
        <v>420</v>
      </c>
      <c r="J58">
        <v>10</v>
      </c>
      <c r="K58" t="s">
        <v>30</v>
      </c>
      <c r="L58" t="s">
        <v>34</v>
      </c>
      <c r="M58">
        <f>SalesTable[[#This Row],[Quantity]]*SalesTable[[#This Row],[Unit_Price]]</f>
        <v>1680</v>
      </c>
      <c r="N58">
        <f>SalesTable[[#This Row],[Gross_Sales]]*(1-SalesTable[[#This Row],[Discount_Percent]]/100)</f>
        <v>1512</v>
      </c>
    </row>
    <row r="59" spans="1:14" x14ac:dyDescent="0.3">
      <c r="A59" t="s">
        <v>115</v>
      </c>
      <c r="B59" s="1">
        <v>46045</v>
      </c>
      <c r="C59" t="s">
        <v>32</v>
      </c>
      <c r="D59" t="s">
        <v>67</v>
      </c>
      <c r="E59" t="s">
        <v>15</v>
      </c>
      <c r="F59" t="s">
        <v>83</v>
      </c>
      <c r="G59" t="s">
        <v>49</v>
      </c>
      <c r="H59">
        <v>1</v>
      </c>
      <c r="I59">
        <v>380</v>
      </c>
      <c r="J59">
        <v>20</v>
      </c>
      <c r="K59" t="s">
        <v>25</v>
      </c>
      <c r="L59" t="s">
        <v>19</v>
      </c>
      <c r="M59">
        <f>SalesTable[[#This Row],[Quantity]]*SalesTable[[#This Row],[Unit_Price]]</f>
        <v>380</v>
      </c>
      <c r="N59">
        <f>SalesTable[[#This Row],[Gross_Sales]]*(1-SalesTable[[#This Row],[Discount_Percent]]/100)</f>
        <v>304</v>
      </c>
    </row>
    <row r="60" spans="1:14" x14ac:dyDescent="0.3">
      <c r="A60" t="s">
        <v>116</v>
      </c>
      <c r="B60" s="1">
        <v>46041</v>
      </c>
      <c r="C60" t="s">
        <v>54</v>
      </c>
      <c r="D60" t="s">
        <v>21</v>
      </c>
      <c r="E60" t="s">
        <v>58</v>
      </c>
      <c r="F60" t="s">
        <v>55</v>
      </c>
      <c r="G60" t="s">
        <v>45</v>
      </c>
      <c r="H60">
        <v>2</v>
      </c>
      <c r="I60">
        <v>8200</v>
      </c>
      <c r="J60">
        <v>5</v>
      </c>
      <c r="K60" t="s">
        <v>30</v>
      </c>
      <c r="L60" t="s">
        <v>34</v>
      </c>
      <c r="M60">
        <f>SalesTable[[#This Row],[Quantity]]*SalesTable[[#This Row],[Unit_Price]]</f>
        <v>16400</v>
      </c>
      <c r="N60">
        <f>SalesTable[[#This Row],[Gross_Sales]]*(1-SalesTable[[#This Row],[Discount_Percent]]/100)</f>
        <v>15580</v>
      </c>
    </row>
    <row r="61" spans="1:14" x14ac:dyDescent="0.3">
      <c r="A61" t="s">
        <v>117</v>
      </c>
      <c r="B61" s="1">
        <v>46056</v>
      </c>
      <c r="C61" t="s">
        <v>51</v>
      </c>
      <c r="D61" t="s">
        <v>67</v>
      </c>
      <c r="E61" t="s">
        <v>37</v>
      </c>
      <c r="F61" t="s">
        <v>64</v>
      </c>
      <c r="G61" t="s">
        <v>24</v>
      </c>
      <c r="H61">
        <v>4</v>
      </c>
      <c r="I61">
        <v>2200</v>
      </c>
      <c r="J61">
        <v>0</v>
      </c>
      <c r="K61" t="s">
        <v>52</v>
      </c>
      <c r="L61" t="s">
        <v>19</v>
      </c>
      <c r="M61">
        <f>SalesTable[[#This Row],[Quantity]]*SalesTable[[#This Row],[Unit_Price]]</f>
        <v>8800</v>
      </c>
      <c r="N61">
        <f>SalesTable[[#This Row],[Gross_Sales]]*(1-SalesTable[[#This Row],[Discount_Percent]]/100)</f>
        <v>8800</v>
      </c>
    </row>
    <row r="62" spans="1:14" x14ac:dyDescent="0.3">
      <c r="A62" t="s">
        <v>118</v>
      </c>
      <c r="B62" s="1">
        <v>46036</v>
      </c>
      <c r="C62" t="s">
        <v>13</v>
      </c>
      <c r="D62" t="s">
        <v>21</v>
      </c>
      <c r="E62" t="s">
        <v>15</v>
      </c>
      <c r="F62" t="s">
        <v>40</v>
      </c>
      <c r="G62" t="s">
        <v>41</v>
      </c>
      <c r="H62">
        <v>2</v>
      </c>
      <c r="I62">
        <v>100</v>
      </c>
      <c r="J62">
        <v>15</v>
      </c>
      <c r="K62" t="s">
        <v>18</v>
      </c>
      <c r="L62" t="s">
        <v>19</v>
      </c>
      <c r="M62">
        <f>SalesTable[[#This Row],[Quantity]]*SalesTable[[#This Row],[Unit_Price]]</f>
        <v>200</v>
      </c>
      <c r="N62">
        <f>SalesTable[[#This Row],[Gross_Sales]]*(1-SalesTable[[#This Row],[Discount_Percent]]/100)</f>
        <v>170</v>
      </c>
    </row>
    <row r="63" spans="1:14" x14ac:dyDescent="0.3">
      <c r="A63" t="s">
        <v>119</v>
      </c>
      <c r="B63" s="1">
        <v>46024</v>
      </c>
      <c r="C63" t="s">
        <v>51</v>
      </c>
      <c r="D63" t="s">
        <v>47</v>
      </c>
      <c r="E63" t="s">
        <v>15</v>
      </c>
      <c r="F63" t="s">
        <v>40</v>
      </c>
      <c r="G63" t="s">
        <v>41</v>
      </c>
      <c r="H63">
        <v>3</v>
      </c>
      <c r="I63">
        <v>105</v>
      </c>
      <c r="J63">
        <v>0</v>
      </c>
      <c r="K63" t="s">
        <v>30</v>
      </c>
      <c r="L63" t="s">
        <v>19</v>
      </c>
      <c r="M63">
        <f>SalesTable[[#This Row],[Quantity]]*SalesTable[[#This Row],[Unit_Price]]</f>
        <v>315</v>
      </c>
      <c r="N63">
        <f>SalesTable[[#This Row],[Gross_Sales]]*(1-SalesTable[[#This Row],[Discount_Percent]]/100)</f>
        <v>315</v>
      </c>
    </row>
    <row r="64" spans="1:14" x14ac:dyDescent="0.3">
      <c r="A64" t="s">
        <v>120</v>
      </c>
      <c r="B64" s="1">
        <v>46037</v>
      </c>
      <c r="C64" t="s">
        <v>54</v>
      </c>
      <c r="D64" t="s">
        <v>14</v>
      </c>
      <c r="E64" t="s">
        <v>22</v>
      </c>
      <c r="F64" t="s">
        <v>69</v>
      </c>
      <c r="G64" t="s">
        <v>24</v>
      </c>
      <c r="H64">
        <v>1</v>
      </c>
      <c r="I64">
        <v>11500</v>
      </c>
      <c r="J64">
        <v>5</v>
      </c>
      <c r="K64" t="s">
        <v>30</v>
      </c>
      <c r="L64" t="s">
        <v>19</v>
      </c>
      <c r="M64">
        <f>SalesTable[[#This Row],[Quantity]]*SalesTable[[#This Row],[Unit_Price]]</f>
        <v>11500</v>
      </c>
      <c r="N64">
        <f>SalesTable[[#This Row],[Gross_Sales]]*(1-SalesTable[[#This Row],[Discount_Percent]]/100)</f>
        <v>10925</v>
      </c>
    </row>
    <row r="65" spans="1:14" x14ac:dyDescent="0.3">
      <c r="A65" t="s">
        <v>121</v>
      </c>
      <c r="B65" s="1">
        <v>46096</v>
      </c>
      <c r="C65" t="s">
        <v>82</v>
      </c>
      <c r="D65" t="s">
        <v>21</v>
      </c>
      <c r="E65" t="s">
        <v>37</v>
      </c>
      <c r="F65" t="s">
        <v>16</v>
      </c>
      <c r="G65" t="s">
        <v>17</v>
      </c>
      <c r="H65">
        <v>2</v>
      </c>
      <c r="I65">
        <v>850</v>
      </c>
      <c r="J65">
        <v>10</v>
      </c>
      <c r="K65" t="s">
        <v>52</v>
      </c>
      <c r="L65" t="s">
        <v>34</v>
      </c>
      <c r="M65">
        <f>SalesTable[[#This Row],[Quantity]]*SalesTable[[#This Row],[Unit_Price]]</f>
        <v>1700</v>
      </c>
      <c r="N65">
        <f>SalesTable[[#This Row],[Gross_Sales]]*(1-SalesTable[[#This Row],[Discount_Percent]]/100)</f>
        <v>1530</v>
      </c>
    </row>
    <row r="66" spans="1:14" x14ac:dyDescent="0.3">
      <c r="A66" t="s">
        <v>122</v>
      </c>
      <c r="B66" s="1">
        <v>46089</v>
      </c>
      <c r="C66" t="s">
        <v>60</v>
      </c>
      <c r="D66" t="s">
        <v>67</v>
      </c>
      <c r="E66" t="s">
        <v>29</v>
      </c>
      <c r="F66" t="s">
        <v>76</v>
      </c>
      <c r="G66" t="s">
        <v>41</v>
      </c>
      <c r="H66">
        <v>4</v>
      </c>
      <c r="I66">
        <v>65</v>
      </c>
      <c r="J66">
        <v>0</v>
      </c>
      <c r="K66" t="s">
        <v>52</v>
      </c>
      <c r="L66" t="s">
        <v>19</v>
      </c>
      <c r="M66">
        <f>SalesTable[[#This Row],[Quantity]]*SalesTable[[#This Row],[Unit_Price]]</f>
        <v>260</v>
      </c>
      <c r="N66">
        <f>SalesTable[[#This Row],[Gross_Sales]]*(1-SalesTable[[#This Row],[Discount_Percent]]/100)</f>
        <v>260</v>
      </c>
    </row>
    <row r="67" spans="1:14" x14ac:dyDescent="0.3">
      <c r="A67" t="s">
        <v>123</v>
      </c>
      <c r="B67" s="1">
        <v>46097</v>
      </c>
      <c r="C67" t="s">
        <v>32</v>
      </c>
      <c r="D67" t="s">
        <v>28</v>
      </c>
      <c r="E67" t="s">
        <v>37</v>
      </c>
      <c r="F67" t="s">
        <v>69</v>
      </c>
      <c r="G67" t="s">
        <v>24</v>
      </c>
      <c r="H67">
        <v>1</v>
      </c>
      <c r="I67">
        <v>11500</v>
      </c>
      <c r="J67">
        <v>0</v>
      </c>
      <c r="K67" t="s">
        <v>18</v>
      </c>
      <c r="L67" t="s">
        <v>19</v>
      </c>
      <c r="M67">
        <f>SalesTable[[#This Row],[Quantity]]*SalesTable[[#This Row],[Unit_Price]]</f>
        <v>11500</v>
      </c>
      <c r="N67">
        <f>SalesTable[[#This Row],[Gross_Sales]]*(1-SalesTable[[#This Row],[Discount_Percent]]/100)</f>
        <v>11500</v>
      </c>
    </row>
    <row r="68" spans="1:14" x14ac:dyDescent="0.3">
      <c r="A68" t="s">
        <v>124</v>
      </c>
      <c r="B68" s="1">
        <v>46063</v>
      </c>
      <c r="C68" t="s">
        <v>51</v>
      </c>
      <c r="D68" t="s">
        <v>14</v>
      </c>
      <c r="E68" t="s">
        <v>29</v>
      </c>
      <c r="F68" t="s">
        <v>44</v>
      </c>
      <c r="G68" t="s">
        <v>45</v>
      </c>
      <c r="H68">
        <v>1</v>
      </c>
      <c r="I68">
        <v>12500</v>
      </c>
      <c r="J68">
        <v>10</v>
      </c>
      <c r="K68" t="s">
        <v>18</v>
      </c>
      <c r="L68" t="s">
        <v>34</v>
      </c>
      <c r="M68">
        <f>SalesTable[[#This Row],[Quantity]]*SalesTable[[#This Row],[Unit_Price]]</f>
        <v>12500</v>
      </c>
      <c r="N68">
        <f>SalesTable[[#This Row],[Gross_Sales]]*(1-SalesTable[[#This Row],[Discount_Percent]]/100)</f>
        <v>11250</v>
      </c>
    </row>
    <row r="69" spans="1:14" x14ac:dyDescent="0.3">
      <c r="A69" t="s">
        <v>125</v>
      </c>
      <c r="B69" s="1">
        <v>46062</v>
      </c>
      <c r="C69" t="s">
        <v>51</v>
      </c>
      <c r="D69" t="s">
        <v>21</v>
      </c>
      <c r="E69" t="s">
        <v>22</v>
      </c>
      <c r="F69" t="s">
        <v>64</v>
      </c>
      <c r="G69" t="s">
        <v>24</v>
      </c>
      <c r="H69">
        <v>2</v>
      </c>
      <c r="I69">
        <v>2310</v>
      </c>
      <c r="J69">
        <v>20</v>
      </c>
      <c r="K69" t="s">
        <v>52</v>
      </c>
      <c r="L69" t="s">
        <v>42</v>
      </c>
      <c r="M69">
        <f>SalesTable[[#This Row],[Quantity]]*SalesTable[[#This Row],[Unit_Price]]</f>
        <v>4620</v>
      </c>
      <c r="N69">
        <f>SalesTable[[#This Row],[Gross_Sales]]*(1-SalesTable[[#This Row],[Discount_Percent]]/100)</f>
        <v>3696</v>
      </c>
    </row>
    <row r="70" spans="1:14" x14ac:dyDescent="0.3">
      <c r="A70" t="s">
        <v>126</v>
      </c>
      <c r="B70" s="1">
        <v>46064</v>
      </c>
      <c r="C70" t="s">
        <v>54</v>
      </c>
      <c r="D70" t="s">
        <v>33</v>
      </c>
      <c r="E70" t="s">
        <v>15</v>
      </c>
      <c r="F70" t="s">
        <v>99</v>
      </c>
      <c r="G70" t="s">
        <v>24</v>
      </c>
      <c r="H70">
        <v>3</v>
      </c>
      <c r="I70">
        <v>650</v>
      </c>
      <c r="J70">
        <v>5</v>
      </c>
      <c r="K70" t="s">
        <v>52</v>
      </c>
      <c r="L70" t="s">
        <v>19</v>
      </c>
      <c r="M70">
        <f>SalesTable[[#This Row],[Quantity]]*SalesTable[[#This Row],[Unit_Price]]</f>
        <v>1950</v>
      </c>
      <c r="N70">
        <f>SalesTable[[#This Row],[Gross_Sales]]*(1-SalesTable[[#This Row],[Discount_Percent]]/100)</f>
        <v>1852.5</v>
      </c>
    </row>
    <row r="71" spans="1:14" x14ac:dyDescent="0.3">
      <c r="A71" t="s">
        <v>127</v>
      </c>
      <c r="B71" s="1">
        <v>46034</v>
      </c>
      <c r="C71" t="s">
        <v>36</v>
      </c>
      <c r="D71" t="s">
        <v>14</v>
      </c>
      <c r="E71" t="s">
        <v>58</v>
      </c>
      <c r="F71" t="s">
        <v>44</v>
      </c>
      <c r="G71" t="s">
        <v>45</v>
      </c>
      <c r="H71">
        <v>1</v>
      </c>
      <c r="I71">
        <v>12500</v>
      </c>
      <c r="J71">
        <v>15</v>
      </c>
      <c r="K71" t="s">
        <v>25</v>
      </c>
      <c r="L71" t="s">
        <v>19</v>
      </c>
      <c r="M71">
        <f>SalesTable[[#This Row],[Quantity]]*SalesTable[[#This Row],[Unit_Price]]</f>
        <v>12500</v>
      </c>
      <c r="N71">
        <f>SalesTable[[#This Row],[Gross_Sales]]*(1-SalesTable[[#This Row],[Discount_Percent]]/100)</f>
        <v>10625</v>
      </c>
    </row>
    <row r="72" spans="1:14" x14ac:dyDescent="0.3">
      <c r="A72" t="s">
        <v>128</v>
      </c>
      <c r="B72" s="1">
        <v>46050</v>
      </c>
      <c r="C72" t="s">
        <v>82</v>
      </c>
      <c r="D72" t="s">
        <v>14</v>
      </c>
      <c r="E72" t="s">
        <v>58</v>
      </c>
      <c r="F72" t="s">
        <v>71</v>
      </c>
      <c r="G72" t="s">
        <v>24</v>
      </c>
      <c r="H72">
        <v>4</v>
      </c>
      <c r="I72">
        <v>1155</v>
      </c>
      <c r="J72">
        <v>0</v>
      </c>
      <c r="K72" t="s">
        <v>30</v>
      </c>
      <c r="L72" t="s">
        <v>42</v>
      </c>
      <c r="M72">
        <f>SalesTable[[#This Row],[Quantity]]*SalesTable[[#This Row],[Unit_Price]]</f>
        <v>4620</v>
      </c>
      <c r="N72">
        <f>SalesTable[[#This Row],[Gross_Sales]]*(1-SalesTable[[#This Row],[Discount_Percent]]/100)</f>
        <v>4620</v>
      </c>
    </row>
    <row r="73" spans="1:14" x14ac:dyDescent="0.3">
      <c r="A73" t="s">
        <v>129</v>
      </c>
      <c r="B73" s="1">
        <v>46097</v>
      </c>
      <c r="C73" t="s">
        <v>39</v>
      </c>
      <c r="D73" t="s">
        <v>67</v>
      </c>
      <c r="E73" t="s">
        <v>22</v>
      </c>
      <c r="F73" t="s">
        <v>64</v>
      </c>
      <c r="G73" t="s">
        <v>24</v>
      </c>
      <c r="H73">
        <v>1</v>
      </c>
      <c r="I73">
        <v>2310</v>
      </c>
      <c r="J73">
        <v>15</v>
      </c>
      <c r="K73" t="s">
        <v>18</v>
      </c>
      <c r="L73" t="s">
        <v>42</v>
      </c>
      <c r="M73">
        <f>SalesTable[[#This Row],[Quantity]]*SalesTable[[#This Row],[Unit_Price]]</f>
        <v>2310</v>
      </c>
      <c r="N73">
        <f>SalesTable[[#This Row],[Gross_Sales]]*(1-SalesTable[[#This Row],[Discount_Percent]]/100)</f>
        <v>1963.5</v>
      </c>
    </row>
    <row r="74" spans="1:14" x14ac:dyDescent="0.3">
      <c r="A74" t="s">
        <v>130</v>
      </c>
      <c r="B74" s="1">
        <v>46041</v>
      </c>
      <c r="C74" t="s">
        <v>36</v>
      </c>
      <c r="D74" t="s">
        <v>47</v>
      </c>
      <c r="E74" t="s">
        <v>22</v>
      </c>
      <c r="F74" t="s">
        <v>71</v>
      </c>
      <c r="G74" t="s">
        <v>24</v>
      </c>
      <c r="H74">
        <v>3</v>
      </c>
      <c r="I74">
        <v>1155</v>
      </c>
      <c r="J74">
        <v>0</v>
      </c>
      <c r="K74" t="s">
        <v>25</v>
      </c>
      <c r="L74" t="s">
        <v>19</v>
      </c>
      <c r="M74">
        <f>SalesTable[[#This Row],[Quantity]]*SalesTable[[#This Row],[Unit_Price]]</f>
        <v>3465</v>
      </c>
      <c r="N74">
        <f>SalesTable[[#This Row],[Gross_Sales]]*(1-SalesTable[[#This Row],[Discount_Percent]]/100)</f>
        <v>3465</v>
      </c>
    </row>
    <row r="75" spans="1:14" x14ac:dyDescent="0.3">
      <c r="A75" t="s">
        <v>131</v>
      </c>
      <c r="B75" s="1">
        <v>46089</v>
      </c>
      <c r="C75" t="s">
        <v>27</v>
      </c>
      <c r="D75" t="s">
        <v>67</v>
      </c>
      <c r="E75" t="s">
        <v>15</v>
      </c>
      <c r="F75" t="s">
        <v>40</v>
      </c>
      <c r="G75" t="s">
        <v>41</v>
      </c>
      <c r="H75">
        <v>4</v>
      </c>
      <c r="I75">
        <v>95</v>
      </c>
      <c r="J75">
        <v>5</v>
      </c>
      <c r="K75" t="s">
        <v>52</v>
      </c>
      <c r="L75" t="s">
        <v>19</v>
      </c>
      <c r="M75">
        <f>SalesTable[[#This Row],[Quantity]]*SalesTable[[#This Row],[Unit_Price]]</f>
        <v>380</v>
      </c>
      <c r="N75">
        <f>SalesTable[[#This Row],[Gross_Sales]]*(1-SalesTable[[#This Row],[Discount_Percent]]/100)</f>
        <v>361</v>
      </c>
    </row>
    <row r="76" spans="1:14" x14ac:dyDescent="0.3">
      <c r="A76" t="s">
        <v>132</v>
      </c>
      <c r="B76" s="1">
        <v>46059</v>
      </c>
      <c r="C76" t="s">
        <v>73</v>
      </c>
      <c r="D76" t="s">
        <v>21</v>
      </c>
      <c r="E76" t="s">
        <v>15</v>
      </c>
      <c r="F76" t="s">
        <v>48</v>
      </c>
      <c r="G76" t="s">
        <v>49</v>
      </c>
      <c r="H76">
        <v>1</v>
      </c>
      <c r="I76">
        <v>1680</v>
      </c>
      <c r="J76">
        <v>20</v>
      </c>
      <c r="K76" t="s">
        <v>18</v>
      </c>
      <c r="L76" t="s">
        <v>19</v>
      </c>
      <c r="M76">
        <f>SalesTable[[#This Row],[Quantity]]*SalesTable[[#This Row],[Unit_Price]]</f>
        <v>1680</v>
      </c>
      <c r="N76">
        <f>SalesTable[[#This Row],[Gross_Sales]]*(1-SalesTable[[#This Row],[Discount_Percent]]/100)</f>
        <v>1344</v>
      </c>
    </row>
    <row r="77" spans="1:14" x14ac:dyDescent="0.3">
      <c r="A77" t="s">
        <v>133</v>
      </c>
      <c r="B77" s="1">
        <v>46111</v>
      </c>
      <c r="C77" t="s">
        <v>39</v>
      </c>
      <c r="D77" t="s">
        <v>33</v>
      </c>
      <c r="E77" t="s">
        <v>63</v>
      </c>
      <c r="F77" t="s">
        <v>16</v>
      </c>
      <c r="G77" t="s">
        <v>17</v>
      </c>
      <c r="H77">
        <v>3</v>
      </c>
      <c r="I77">
        <v>850</v>
      </c>
      <c r="J77">
        <v>0</v>
      </c>
      <c r="K77" t="s">
        <v>25</v>
      </c>
      <c r="L77" t="s">
        <v>19</v>
      </c>
      <c r="M77">
        <f>SalesTable[[#This Row],[Quantity]]*SalesTable[[#This Row],[Unit_Price]]</f>
        <v>2550</v>
      </c>
      <c r="N77">
        <f>SalesTable[[#This Row],[Gross_Sales]]*(1-SalesTable[[#This Row],[Discount_Percent]]/100)</f>
        <v>2550</v>
      </c>
    </row>
    <row r="78" spans="1:14" x14ac:dyDescent="0.3">
      <c r="A78" t="s">
        <v>134</v>
      </c>
      <c r="B78" s="1">
        <v>46106</v>
      </c>
      <c r="C78" t="s">
        <v>36</v>
      </c>
      <c r="D78" t="s">
        <v>21</v>
      </c>
      <c r="E78" t="s">
        <v>63</v>
      </c>
      <c r="F78" t="s">
        <v>76</v>
      </c>
      <c r="G78" t="s">
        <v>41</v>
      </c>
      <c r="H78">
        <v>1</v>
      </c>
      <c r="I78">
        <v>68.25</v>
      </c>
      <c r="J78">
        <v>15</v>
      </c>
      <c r="K78" t="s">
        <v>18</v>
      </c>
      <c r="L78" t="s">
        <v>19</v>
      </c>
      <c r="M78">
        <f>SalesTable[[#This Row],[Quantity]]*SalesTable[[#This Row],[Unit_Price]]</f>
        <v>68.25</v>
      </c>
      <c r="N78">
        <f>SalesTable[[#This Row],[Gross_Sales]]*(1-SalesTable[[#This Row],[Discount_Percent]]/100)</f>
        <v>58.012499999999996</v>
      </c>
    </row>
    <row r="79" spans="1:14" x14ac:dyDescent="0.3">
      <c r="A79" t="s">
        <v>135</v>
      </c>
      <c r="B79" s="1">
        <v>46023</v>
      </c>
      <c r="C79" t="s">
        <v>13</v>
      </c>
      <c r="D79" t="s">
        <v>28</v>
      </c>
      <c r="E79" t="s">
        <v>22</v>
      </c>
      <c r="F79" t="s">
        <v>16</v>
      </c>
      <c r="G79" t="s">
        <v>17</v>
      </c>
      <c r="H79">
        <v>3</v>
      </c>
      <c r="I79">
        <v>807.5</v>
      </c>
      <c r="J79">
        <v>0</v>
      </c>
      <c r="K79" t="s">
        <v>30</v>
      </c>
      <c r="L79" t="s">
        <v>42</v>
      </c>
      <c r="M79">
        <f>SalesTable[[#This Row],[Quantity]]*SalesTable[[#This Row],[Unit_Price]]</f>
        <v>2422.5</v>
      </c>
      <c r="N79">
        <f>SalesTable[[#This Row],[Gross_Sales]]*(1-SalesTable[[#This Row],[Discount_Percent]]/100)</f>
        <v>2422.5</v>
      </c>
    </row>
    <row r="80" spans="1:14" x14ac:dyDescent="0.3">
      <c r="A80" t="s">
        <v>136</v>
      </c>
      <c r="B80" s="1">
        <v>46063</v>
      </c>
      <c r="C80" t="s">
        <v>73</v>
      </c>
      <c r="D80" t="s">
        <v>21</v>
      </c>
      <c r="E80" t="s">
        <v>29</v>
      </c>
      <c r="F80" t="s">
        <v>71</v>
      </c>
      <c r="G80" t="s">
        <v>24</v>
      </c>
      <c r="H80">
        <v>4</v>
      </c>
      <c r="I80">
        <v>1045</v>
      </c>
      <c r="J80">
        <v>5</v>
      </c>
      <c r="K80" t="s">
        <v>52</v>
      </c>
      <c r="L80" t="s">
        <v>19</v>
      </c>
      <c r="M80">
        <f>SalesTable[[#This Row],[Quantity]]*SalesTable[[#This Row],[Unit_Price]]</f>
        <v>4180</v>
      </c>
      <c r="N80">
        <f>SalesTable[[#This Row],[Gross_Sales]]*(1-SalesTable[[#This Row],[Discount_Percent]]/100)</f>
        <v>3971</v>
      </c>
    </row>
    <row r="81" spans="1:14" x14ac:dyDescent="0.3">
      <c r="A81" t="s">
        <v>137</v>
      </c>
      <c r="B81" s="1">
        <v>46088</v>
      </c>
      <c r="C81" t="s">
        <v>54</v>
      </c>
      <c r="D81" t="s">
        <v>47</v>
      </c>
      <c r="E81" t="s">
        <v>58</v>
      </c>
      <c r="F81" t="s">
        <v>55</v>
      </c>
      <c r="G81" t="s">
        <v>45</v>
      </c>
      <c r="H81">
        <v>3</v>
      </c>
      <c r="I81">
        <v>8200</v>
      </c>
      <c r="J81">
        <v>0</v>
      </c>
      <c r="K81" t="s">
        <v>18</v>
      </c>
      <c r="L81" t="s">
        <v>42</v>
      </c>
      <c r="M81">
        <f>SalesTable[[#This Row],[Quantity]]*SalesTable[[#This Row],[Unit_Price]]</f>
        <v>24600</v>
      </c>
      <c r="N81">
        <f>SalesTable[[#This Row],[Gross_Sales]]*(1-SalesTable[[#This Row],[Discount_Percent]]/100)</f>
        <v>24600</v>
      </c>
    </row>
    <row r="82" spans="1:14" x14ac:dyDescent="0.3">
      <c r="A82" t="s">
        <v>138</v>
      </c>
      <c r="B82" s="1">
        <v>46101</v>
      </c>
      <c r="C82" t="s">
        <v>27</v>
      </c>
      <c r="D82" t="s">
        <v>47</v>
      </c>
      <c r="E82" t="s">
        <v>37</v>
      </c>
      <c r="F82" t="s">
        <v>55</v>
      </c>
      <c r="G82" t="s">
        <v>45</v>
      </c>
      <c r="H82">
        <v>4</v>
      </c>
      <c r="I82">
        <v>8200</v>
      </c>
      <c r="J82">
        <v>15</v>
      </c>
      <c r="K82" t="s">
        <v>30</v>
      </c>
      <c r="L82" t="s">
        <v>34</v>
      </c>
      <c r="M82">
        <f>SalesTable[[#This Row],[Quantity]]*SalesTable[[#This Row],[Unit_Price]]</f>
        <v>32800</v>
      </c>
      <c r="N82">
        <f>SalesTable[[#This Row],[Gross_Sales]]*(1-SalesTable[[#This Row],[Discount_Percent]]/100)</f>
        <v>27880</v>
      </c>
    </row>
    <row r="83" spans="1:14" x14ac:dyDescent="0.3">
      <c r="A83" t="s">
        <v>139</v>
      </c>
      <c r="B83" s="1">
        <v>46044</v>
      </c>
      <c r="C83" t="s">
        <v>73</v>
      </c>
      <c r="D83" t="s">
        <v>33</v>
      </c>
      <c r="E83" t="s">
        <v>63</v>
      </c>
      <c r="F83" t="s">
        <v>83</v>
      </c>
      <c r="G83" t="s">
        <v>49</v>
      </c>
      <c r="H83">
        <v>3</v>
      </c>
      <c r="I83">
        <v>380</v>
      </c>
      <c r="J83">
        <v>0</v>
      </c>
      <c r="K83" t="s">
        <v>30</v>
      </c>
      <c r="L83" t="s">
        <v>19</v>
      </c>
      <c r="M83">
        <f>SalesTable[[#This Row],[Quantity]]*SalesTable[[#This Row],[Unit_Price]]</f>
        <v>1140</v>
      </c>
      <c r="N83">
        <f>SalesTable[[#This Row],[Gross_Sales]]*(1-SalesTable[[#This Row],[Discount_Percent]]/100)</f>
        <v>1140</v>
      </c>
    </row>
    <row r="84" spans="1:14" x14ac:dyDescent="0.3">
      <c r="A84" t="s">
        <v>140</v>
      </c>
      <c r="B84" s="1">
        <v>46023</v>
      </c>
      <c r="C84" t="s">
        <v>73</v>
      </c>
      <c r="D84" t="s">
        <v>67</v>
      </c>
      <c r="E84" t="s">
        <v>29</v>
      </c>
      <c r="F84" t="s">
        <v>16</v>
      </c>
      <c r="G84" t="s">
        <v>17</v>
      </c>
      <c r="H84">
        <v>3</v>
      </c>
      <c r="I84">
        <v>892.5</v>
      </c>
      <c r="J84">
        <v>10</v>
      </c>
      <c r="K84" t="s">
        <v>30</v>
      </c>
      <c r="L84" t="s">
        <v>19</v>
      </c>
      <c r="M84">
        <f>SalesTable[[#This Row],[Quantity]]*SalesTable[[#This Row],[Unit_Price]]</f>
        <v>2677.5</v>
      </c>
      <c r="N84">
        <f>SalesTable[[#This Row],[Gross_Sales]]*(1-SalesTable[[#This Row],[Discount_Percent]]/100)</f>
        <v>2409.75</v>
      </c>
    </row>
    <row r="85" spans="1:14" x14ac:dyDescent="0.3">
      <c r="A85" t="s">
        <v>141</v>
      </c>
      <c r="B85" s="1">
        <v>46073</v>
      </c>
      <c r="C85" t="s">
        <v>60</v>
      </c>
      <c r="D85" t="s">
        <v>33</v>
      </c>
      <c r="E85" t="s">
        <v>29</v>
      </c>
      <c r="F85" t="s">
        <v>48</v>
      </c>
      <c r="G85" t="s">
        <v>49</v>
      </c>
      <c r="H85">
        <v>3</v>
      </c>
      <c r="I85">
        <v>1680</v>
      </c>
      <c r="J85">
        <v>10</v>
      </c>
      <c r="K85" t="s">
        <v>25</v>
      </c>
      <c r="L85" t="s">
        <v>19</v>
      </c>
      <c r="M85">
        <f>SalesTable[[#This Row],[Quantity]]*SalesTable[[#This Row],[Unit_Price]]</f>
        <v>5040</v>
      </c>
      <c r="N85">
        <f>SalesTable[[#This Row],[Gross_Sales]]*(1-SalesTable[[#This Row],[Discount_Percent]]/100)</f>
        <v>4536</v>
      </c>
    </row>
    <row r="86" spans="1:14" x14ac:dyDescent="0.3">
      <c r="A86" t="s">
        <v>142</v>
      </c>
      <c r="B86" s="1">
        <v>46026</v>
      </c>
      <c r="C86" t="s">
        <v>13</v>
      </c>
      <c r="D86" t="s">
        <v>47</v>
      </c>
      <c r="E86" t="s">
        <v>29</v>
      </c>
      <c r="F86" t="s">
        <v>83</v>
      </c>
      <c r="G86" t="s">
        <v>49</v>
      </c>
      <c r="H86">
        <v>1</v>
      </c>
      <c r="I86">
        <v>380</v>
      </c>
      <c r="J86">
        <v>0</v>
      </c>
      <c r="K86" t="s">
        <v>30</v>
      </c>
      <c r="L86" t="s">
        <v>42</v>
      </c>
      <c r="M86">
        <f>SalesTable[[#This Row],[Quantity]]*SalesTable[[#This Row],[Unit_Price]]</f>
        <v>380</v>
      </c>
      <c r="N86">
        <f>SalesTable[[#This Row],[Gross_Sales]]*(1-SalesTable[[#This Row],[Discount_Percent]]/100)</f>
        <v>380</v>
      </c>
    </row>
    <row r="87" spans="1:14" x14ac:dyDescent="0.3">
      <c r="A87" t="s">
        <v>143</v>
      </c>
      <c r="B87" s="1">
        <v>46038</v>
      </c>
      <c r="C87" t="s">
        <v>13</v>
      </c>
      <c r="D87" t="s">
        <v>28</v>
      </c>
      <c r="E87" t="s">
        <v>63</v>
      </c>
      <c r="F87" t="s">
        <v>83</v>
      </c>
      <c r="G87" t="s">
        <v>49</v>
      </c>
      <c r="H87">
        <v>2</v>
      </c>
      <c r="I87">
        <v>420</v>
      </c>
      <c r="J87">
        <v>0</v>
      </c>
      <c r="K87" t="s">
        <v>18</v>
      </c>
      <c r="L87" t="s">
        <v>19</v>
      </c>
      <c r="M87">
        <f>SalesTable[[#This Row],[Quantity]]*SalesTable[[#This Row],[Unit_Price]]</f>
        <v>840</v>
      </c>
      <c r="N87">
        <f>SalesTable[[#This Row],[Gross_Sales]]*(1-SalesTable[[#This Row],[Discount_Percent]]/100)</f>
        <v>840</v>
      </c>
    </row>
    <row r="88" spans="1:14" x14ac:dyDescent="0.3">
      <c r="A88" t="s">
        <v>144</v>
      </c>
      <c r="B88" s="1">
        <v>46033</v>
      </c>
      <c r="C88" t="s">
        <v>73</v>
      </c>
      <c r="D88" t="s">
        <v>28</v>
      </c>
      <c r="E88" t="s">
        <v>58</v>
      </c>
      <c r="F88" t="s">
        <v>44</v>
      </c>
      <c r="G88" t="s">
        <v>45</v>
      </c>
      <c r="H88">
        <v>1</v>
      </c>
      <c r="I88">
        <v>12500</v>
      </c>
      <c r="J88">
        <v>5</v>
      </c>
      <c r="K88" t="s">
        <v>25</v>
      </c>
      <c r="L88" t="s">
        <v>34</v>
      </c>
      <c r="M88">
        <f>SalesTable[[#This Row],[Quantity]]*SalesTable[[#This Row],[Unit_Price]]</f>
        <v>12500</v>
      </c>
      <c r="N88">
        <f>SalesTable[[#This Row],[Gross_Sales]]*(1-SalesTable[[#This Row],[Discount_Percent]]/100)</f>
        <v>11875</v>
      </c>
    </row>
    <row r="89" spans="1:14" x14ac:dyDescent="0.3">
      <c r="A89" t="s">
        <v>145</v>
      </c>
      <c r="B89" s="1">
        <v>46053</v>
      </c>
      <c r="C89" t="s">
        <v>13</v>
      </c>
      <c r="D89" t="s">
        <v>47</v>
      </c>
      <c r="E89" t="s">
        <v>58</v>
      </c>
      <c r="F89" t="s">
        <v>44</v>
      </c>
      <c r="G89" t="s">
        <v>45</v>
      </c>
      <c r="H89">
        <v>1</v>
      </c>
      <c r="I89">
        <v>12500</v>
      </c>
      <c r="J89">
        <v>5</v>
      </c>
      <c r="K89" t="s">
        <v>30</v>
      </c>
      <c r="L89" t="s">
        <v>19</v>
      </c>
      <c r="M89">
        <f>SalesTable[[#This Row],[Quantity]]*SalesTable[[#This Row],[Unit_Price]]</f>
        <v>12500</v>
      </c>
      <c r="N89">
        <f>SalesTable[[#This Row],[Gross_Sales]]*(1-SalesTable[[#This Row],[Discount_Percent]]/100)</f>
        <v>11875</v>
      </c>
    </row>
    <row r="90" spans="1:14" x14ac:dyDescent="0.3">
      <c r="A90" t="s">
        <v>146</v>
      </c>
      <c r="B90" s="1">
        <v>46051</v>
      </c>
      <c r="C90" t="s">
        <v>13</v>
      </c>
      <c r="D90" t="s">
        <v>33</v>
      </c>
      <c r="E90" t="s">
        <v>63</v>
      </c>
      <c r="F90" t="s">
        <v>83</v>
      </c>
      <c r="G90" t="s">
        <v>49</v>
      </c>
      <c r="H90">
        <v>4</v>
      </c>
      <c r="I90">
        <v>400</v>
      </c>
      <c r="J90">
        <v>5</v>
      </c>
      <c r="K90" t="s">
        <v>18</v>
      </c>
      <c r="L90" t="s">
        <v>19</v>
      </c>
      <c r="M90">
        <f>SalesTable[[#This Row],[Quantity]]*SalesTable[[#This Row],[Unit_Price]]</f>
        <v>1600</v>
      </c>
      <c r="N90">
        <f>SalesTable[[#This Row],[Gross_Sales]]*(1-SalesTable[[#This Row],[Discount_Percent]]/100)</f>
        <v>1520</v>
      </c>
    </row>
    <row r="91" spans="1:14" x14ac:dyDescent="0.3">
      <c r="A91" t="s">
        <v>147</v>
      </c>
      <c r="B91" s="1">
        <v>46090</v>
      </c>
      <c r="C91" t="s">
        <v>32</v>
      </c>
      <c r="D91" t="s">
        <v>47</v>
      </c>
      <c r="E91" t="s">
        <v>15</v>
      </c>
      <c r="F91" t="s">
        <v>40</v>
      </c>
      <c r="G91" t="s">
        <v>41</v>
      </c>
      <c r="H91">
        <v>3</v>
      </c>
      <c r="I91">
        <v>105</v>
      </c>
      <c r="J91">
        <v>0</v>
      </c>
      <c r="K91" t="s">
        <v>30</v>
      </c>
      <c r="L91" t="s">
        <v>19</v>
      </c>
      <c r="M91">
        <f>SalesTable[[#This Row],[Quantity]]*SalesTable[[#This Row],[Unit_Price]]</f>
        <v>315</v>
      </c>
      <c r="N91">
        <f>SalesTable[[#This Row],[Gross_Sales]]*(1-SalesTable[[#This Row],[Discount_Percent]]/100)</f>
        <v>315</v>
      </c>
    </row>
    <row r="92" spans="1:14" x14ac:dyDescent="0.3">
      <c r="A92" t="s">
        <v>148</v>
      </c>
      <c r="B92" s="1">
        <v>46067</v>
      </c>
      <c r="C92" t="s">
        <v>39</v>
      </c>
      <c r="D92" t="s">
        <v>14</v>
      </c>
      <c r="E92" t="s">
        <v>22</v>
      </c>
      <c r="F92" t="s">
        <v>83</v>
      </c>
      <c r="G92" t="s">
        <v>49</v>
      </c>
      <c r="H92">
        <v>3</v>
      </c>
      <c r="I92">
        <v>420</v>
      </c>
      <c r="J92">
        <v>15</v>
      </c>
      <c r="K92" t="s">
        <v>25</v>
      </c>
      <c r="L92" t="s">
        <v>19</v>
      </c>
      <c r="M92">
        <f>SalesTable[[#This Row],[Quantity]]*SalesTable[[#This Row],[Unit_Price]]</f>
        <v>1260</v>
      </c>
      <c r="N92">
        <f>SalesTable[[#This Row],[Gross_Sales]]*(1-SalesTable[[#This Row],[Discount_Percent]]/100)</f>
        <v>1071</v>
      </c>
    </row>
    <row r="93" spans="1:14" x14ac:dyDescent="0.3">
      <c r="A93" t="s">
        <v>149</v>
      </c>
      <c r="B93" s="1">
        <v>46110</v>
      </c>
      <c r="C93" t="s">
        <v>39</v>
      </c>
      <c r="D93" t="s">
        <v>33</v>
      </c>
      <c r="E93" t="s">
        <v>37</v>
      </c>
      <c r="F93" t="s">
        <v>64</v>
      </c>
      <c r="G93" t="s">
        <v>24</v>
      </c>
      <c r="H93">
        <v>2</v>
      </c>
      <c r="I93">
        <v>2200</v>
      </c>
      <c r="J93">
        <v>15</v>
      </c>
      <c r="K93" t="s">
        <v>25</v>
      </c>
      <c r="L93" t="s">
        <v>19</v>
      </c>
      <c r="M93">
        <f>SalesTable[[#This Row],[Quantity]]*SalesTable[[#This Row],[Unit_Price]]</f>
        <v>4400</v>
      </c>
      <c r="N93">
        <f>SalesTable[[#This Row],[Gross_Sales]]*(1-SalesTable[[#This Row],[Discount_Percent]]/100)</f>
        <v>3740</v>
      </c>
    </row>
    <row r="94" spans="1:14" x14ac:dyDescent="0.3">
      <c r="A94" t="s">
        <v>150</v>
      </c>
      <c r="B94" s="1">
        <v>46039</v>
      </c>
      <c r="C94" t="s">
        <v>60</v>
      </c>
      <c r="D94" t="s">
        <v>14</v>
      </c>
      <c r="E94" t="s">
        <v>22</v>
      </c>
      <c r="F94" t="s">
        <v>99</v>
      </c>
      <c r="G94" t="s">
        <v>24</v>
      </c>
      <c r="H94">
        <v>1</v>
      </c>
      <c r="I94">
        <v>650</v>
      </c>
      <c r="J94">
        <v>5</v>
      </c>
      <c r="K94" t="s">
        <v>52</v>
      </c>
      <c r="L94" t="s">
        <v>19</v>
      </c>
      <c r="M94">
        <f>SalesTable[[#This Row],[Quantity]]*SalesTable[[#This Row],[Unit_Price]]</f>
        <v>650</v>
      </c>
      <c r="N94">
        <f>SalesTable[[#This Row],[Gross_Sales]]*(1-SalesTable[[#This Row],[Discount_Percent]]/100)</f>
        <v>617.5</v>
      </c>
    </row>
    <row r="95" spans="1:14" x14ac:dyDescent="0.3">
      <c r="A95" t="s">
        <v>151</v>
      </c>
      <c r="B95" s="1">
        <v>46055</v>
      </c>
      <c r="C95" t="s">
        <v>36</v>
      </c>
      <c r="D95" t="s">
        <v>33</v>
      </c>
      <c r="E95" t="s">
        <v>58</v>
      </c>
      <c r="F95" t="s">
        <v>44</v>
      </c>
      <c r="G95" t="s">
        <v>45</v>
      </c>
      <c r="H95">
        <v>2</v>
      </c>
      <c r="I95">
        <v>11875</v>
      </c>
      <c r="J95">
        <v>5</v>
      </c>
      <c r="K95" t="s">
        <v>18</v>
      </c>
      <c r="L95" t="s">
        <v>19</v>
      </c>
      <c r="M95">
        <f>SalesTable[[#This Row],[Quantity]]*SalesTable[[#This Row],[Unit_Price]]</f>
        <v>23750</v>
      </c>
      <c r="N95">
        <f>SalesTable[[#This Row],[Gross_Sales]]*(1-SalesTable[[#This Row],[Discount_Percent]]/100)</f>
        <v>22562.5</v>
      </c>
    </row>
    <row r="96" spans="1:14" x14ac:dyDescent="0.3">
      <c r="A96" t="s">
        <v>152</v>
      </c>
      <c r="B96" s="1">
        <v>46083</v>
      </c>
      <c r="C96" t="s">
        <v>32</v>
      </c>
      <c r="D96" t="s">
        <v>33</v>
      </c>
      <c r="E96" t="s">
        <v>37</v>
      </c>
      <c r="F96" t="s">
        <v>64</v>
      </c>
      <c r="G96" t="s">
        <v>24</v>
      </c>
      <c r="H96">
        <v>3</v>
      </c>
      <c r="I96">
        <v>2200</v>
      </c>
      <c r="J96">
        <v>0</v>
      </c>
      <c r="K96" t="s">
        <v>25</v>
      </c>
      <c r="L96" t="s">
        <v>19</v>
      </c>
      <c r="M96">
        <f>SalesTable[[#This Row],[Quantity]]*SalesTable[[#This Row],[Unit_Price]]</f>
        <v>6600</v>
      </c>
      <c r="N96">
        <f>SalesTable[[#This Row],[Gross_Sales]]*(1-SalesTable[[#This Row],[Discount_Percent]]/100)</f>
        <v>6600</v>
      </c>
    </row>
    <row r="97" spans="1:14" x14ac:dyDescent="0.3">
      <c r="A97" t="s">
        <v>153</v>
      </c>
      <c r="B97" s="1">
        <v>46090</v>
      </c>
      <c r="C97" t="s">
        <v>32</v>
      </c>
      <c r="D97" t="s">
        <v>28</v>
      </c>
      <c r="E97" t="s">
        <v>63</v>
      </c>
      <c r="F97" t="s">
        <v>23</v>
      </c>
      <c r="G97" t="s">
        <v>24</v>
      </c>
      <c r="H97">
        <v>1</v>
      </c>
      <c r="I97">
        <v>52000</v>
      </c>
      <c r="J97">
        <v>15</v>
      </c>
      <c r="K97" t="s">
        <v>18</v>
      </c>
      <c r="L97" t="s">
        <v>19</v>
      </c>
      <c r="M97">
        <f>SalesTable[[#This Row],[Quantity]]*SalesTable[[#This Row],[Unit_Price]]</f>
        <v>52000</v>
      </c>
      <c r="N97">
        <f>SalesTable[[#This Row],[Gross_Sales]]*(1-SalesTable[[#This Row],[Discount_Percent]]/100)</f>
        <v>44200</v>
      </c>
    </row>
    <row r="98" spans="1:14" x14ac:dyDescent="0.3">
      <c r="A98" t="s">
        <v>154</v>
      </c>
      <c r="B98" s="1">
        <v>46078</v>
      </c>
      <c r="C98" t="s">
        <v>51</v>
      </c>
      <c r="D98" t="s">
        <v>21</v>
      </c>
      <c r="E98" t="s">
        <v>15</v>
      </c>
      <c r="F98" t="s">
        <v>55</v>
      </c>
      <c r="G98" t="s">
        <v>45</v>
      </c>
      <c r="H98">
        <v>1</v>
      </c>
      <c r="I98">
        <v>7790</v>
      </c>
      <c r="J98">
        <v>0</v>
      </c>
      <c r="K98" t="s">
        <v>52</v>
      </c>
      <c r="L98" t="s">
        <v>19</v>
      </c>
      <c r="M98">
        <f>SalesTable[[#This Row],[Quantity]]*SalesTable[[#This Row],[Unit_Price]]</f>
        <v>7790</v>
      </c>
      <c r="N98">
        <f>SalesTable[[#This Row],[Gross_Sales]]*(1-SalesTable[[#This Row],[Discount_Percent]]/100)</f>
        <v>7790</v>
      </c>
    </row>
    <row r="99" spans="1:14" x14ac:dyDescent="0.3">
      <c r="A99" t="s">
        <v>155</v>
      </c>
      <c r="B99" s="1">
        <v>46044</v>
      </c>
      <c r="C99" t="s">
        <v>60</v>
      </c>
      <c r="D99" t="s">
        <v>33</v>
      </c>
      <c r="E99" t="s">
        <v>58</v>
      </c>
      <c r="F99" t="s">
        <v>64</v>
      </c>
      <c r="G99" t="s">
        <v>24</v>
      </c>
      <c r="H99">
        <v>2</v>
      </c>
      <c r="I99">
        <v>2090</v>
      </c>
      <c r="J99">
        <v>10</v>
      </c>
      <c r="K99" t="s">
        <v>30</v>
      </c>
      <c r="L99" t="s">
        <v>19</v>
      </c>
      <c r="M99">
        <f>SalesTable[[#This Row],[Quantity]]*SalesTable[[#This Row],[Unit_Price]]</f>
        <v>4180</v>
      </c>
      <c r="N99">
        <f>SalesTable[[#This Row],[Gross_Sales]]*(1-SalesTable[[#This Row],[Discount_Percent]]/100)</f>
        <v>3762</v>
      </c>
    </row>
    <row r="100" spans="1:14" x14ac:dyDescent="0.3">
      <c r="A100" t="s">
        <v>156</v>
      </c>
      <c r="B100" s="1">
        <v>46026</v>
      </c>
      <c r="C100" t="s">
        <v>54</v>
      </c>
      <c r="D100" t="s">
        <v>28</v>
      </c>
      <c r="E100" t="s">
        <v>37</v>
      </c>
      <c r="F100" t="s">
        <v>44</v>
      </c>
      <c r="G100" t="s">
        <v>45</v>
      </c>
      <c r="H100">
        <v>1</v>
      </c>
      <c r="I100">
        <v>12500</v>
      </c>
      <c r="J100">
        <v>15</v>
      </c>
      <c r="K100" t="s">
        <v>30</v>
      </c>
      <c r="L100" t="s">
        <v>42</v>
      </c>
      <c r="M100">
        <f>SalesTable[[#This Row],[Quantity]]*SalesTable[[#This Row],[Unit_Price]]</f>
        <v>12500</v>
      </c>
      <c r="N100">
        <f>SalesTable[[#This Row],[Gross_Sales]]*(1-SalesTable[[#This Row],[Discount_Percent]]/100)</f>
        <v>10625</v>
      </c>
    </row>
    <row r="101" spans="1:14" x14ac:dyDescent="0.3">
      <c r="A101" t="s">
        <v>157</v>
      </c>
      <c r="B101" s="1">
        <v>46064</v>
      </c>
      <c r="C101" t="s">
        <v>60</v>
      </c>
      <c r="D101" t="s">
        <v>28</v>
      </c>
      <c r="E101" t="s">
        <v>37</v>
      </c>
      <c r="F101" t="s">
        <v>69</v>
      </c>
      <c r="G101" t="s">
        <v>24</v>
      </c>
      <c r="H101">
        <v>2</v>
      </c>
      <c r="I101">
        <v>11500</v>
      </c>
      <c r="J101">
        <v>0</v>
      </c>
      <c r="K101" t="s">
        <v>25</v>
      </c>
      <c r="L101" t="s">
        <v>42</v>
      </c>
      <c r="M101">
        <f>SalesTable[[#This Row],[Quantity]]*SalesTable[[#This Row],[Unit_Price]]</f>
        <v>23000</v>
      </c>
      <c r="N101">
        <f>SalesTable[[#This Row],[Gross_Sales]]*(1-SalesTable[[#This Row],[Discount_Percent]]/100)</f>
        <v>23000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718F-A24E-4F7F-AA49-49CB5222C02C}">
  <dimension ref="B3:L43"/>
  <sheetViews>
    <sheetView showGridLines="0" tabSelected="1" topLeftCell="A2" zoomScale="67" workbookViewId="0">
      <selection activeCell="P30" sqref="P30"/>
    </sheetView>
  </sheetViews>
  <sheetFormatPr defaultRowHeight="14.4" x14ac:dyDescent="0.3"/>
  <cols>
    <col min="9" max="9" width="11.88671875" customWidth="1"/>
  </cols>
  <sheetData>
    <row r="3" spans="2:12" ht="18.600000000000001" x14ac:dyDescent="0.4">
      <c r="D3" s="20" t="s">
        <v>177</v>
      </c>
      <c r="E3" s="20"/>
      <c r="F3" s="20"/>
      <c r="G3" s="20"/>
      <c r="H3" s="20"/>
      <c r="I3" s="20"/>
      <c r="J3" s="20"/>
    </row>
    <row r="5" spans="2:12" ht="15.6" x14ac:dyDescent="0.3">
      <c r="B5" s="21" t="s">
        <v>161</v>
      </c>
      <c r="C5" s="21"/>
      <c r="E5" s="21" t="s">
        <v>178</v>
      </c>
      <c r="F5" s="21"/>
      <c r="H5" s="21" t="s">
        <v>162</v>
      </c>
      <c r="I5" s="21"/>
      <c r="K5" s="21" t="s">
        <v>179</v>
      </c>
      <c r="L5" s="21"/>
    </row>
    <row r="6" spans="2:12" x14ac:dyDescent="0.3">
      <c r="B6" s="22">
        <f>Summary!B3</f>
        <v>927239.52499999991</v>
      </c>
      <c r="C6" s="22"/>
      <c r="E6" s="22">
        <f>Summary!B5</f>
        <v>9272.3952499999996</v>
      </c>
      <c r="F6" s="22"/>
      <c r="H6" s="23">
        <f>Summary!B4</f>
        <v>100</v>
      </c>
      <c r="I6" s="23"/>
      <c r="K6" s="24">
        <f>Summary!E11</f>
        <v>17</v>
      </c>
      <c r="L6" s="24"/>
    </row>
    <row r="38" spans="5:8" ht="18" x14ac:dyDescent="0.35">
      <c r="E38" s="28" t="s">
        <v>181</v>
      </c>
      <c r="F38" s="28"/>
      <c r="G38" s="28"/>
      <c r="H38" s="28"/>
    </row>
    <row r="40" spans="5:8" x14ac:dyDescent="0.3">
      <c r="E40" s="25" t="s">
        <v>182</v>
      </c>
      <c r="F40" s="25"/>
      <c r="G40" s="26" t="s">
        <v>183</v>
      </c>
      <c r="H40" s="26"/>
    </row>
    <row r="41" spans="5:8" x14ac:dyDescent="0.3">
      <c r="E41" s="25" t="s">
        <v>184</v>
      </c>
      <c r="F41" s="25"/>
      <c r="G41" s="26" t="s">
        <v>185</v>
      </c>
      <c r="H41" s="26"/>
    </row>
    <row r="42" spans="5:8" x14ac:dyDescent="0.3">
      <c r="E42" s="25" t="s">
        <v>186</v>
      </c>
      <c r="F42" s="25"/>
      <c r="G42" s="26" t="s">
        <v>187</v>
      </c>
      <c r="H42" s="26"/>
    </row>
    <row r="43" spans="5:8" x14ac:dyDescent="0.3">
      <c r="E43" s="25" t="s">
        <v>188</v>
      </c>
      <c r="F43" s="25"/>
      <c r="G43" s="27">
        <f>Summary!E11/Summary!B4</f>
        <v>0.17</v>
      </c>
      <c r="H43" s="27"/>
    </row>
  </sheetData>
  <mergeCells count="18">
    <mergeCell ref="G41:H41"/>
    <mergeCell ref="G42:H42"/>
    <mergeCell ref="G43:H43"/>
    <mergeCell ref="E38:H38"/>
    <mergeCell ref="D3:J3"/>
    <mergeCell ref="E40:F40"/>
    <mergeCell ref="E41:F41"/>
    <mergeCell ref="E42:F42"/>
    <mergeCell ref="E43:F43"/>
    <mergeCell ref="G40:H40"/>
    <mergeCell ref="E5:F5"/>
    <mergeCell ref="K5:L5"/>
    <mergeCell ref="B6:C6"/>
    <mergeCell ref="H6:I6"/>
    <mergeCell ref="E6:F6"/>
    <mergeCell ref="K6:L6"/>
    <mergeCell ref="H5:I5"/>
    <mergeCell ref="B5: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3F6F-F63C-41EA-A438-7EB6A22B4419}">
  <dimension ref="A1:E14"/>
  <sheetViews>
    <sheetView zoomScale="67" workbookViewId="0">
      <selection activeCell="E11" sqref="E11"/>
    </sheetView>
  </sheetViews>
  <sheetFormatPr defaultRowHeight="14.4" x14ac:dyDescent="0.3"/>
  <cols>
    <col min="1" max="1" width="17.77734375" customWidth="1"/>
    <col min="2" max="2" width="12.77734375" bestFit="1" customWidth="1"/>
    <col min="4" max="4" width="11.109375" bestFit="1" customWidth="1"/>
    <col min="5" max="5" width="11" bestFit="1" customWidth="1"/>
  </cols>
  <sheetData>
    <row r="1" spans="1:5" ht="19.8" x14ac:dyDescent="0.4">
      <c r="A1" s="7" t="s">
        <v>160</v>
      </c>
      <c r="B1" s="8"/>
    </row>
    <row r="2" spans="1:5" x14ac:dyDescent="0.3">
      <c r="A2" s="9"/>
      <c r="B2" s="10"/>
    </row>
    <row r="3" spans="1:5" x14ac:dyDescent="0.3">
      <c r="A3" s="14" t="s">
        <v>161</v>
      </c>
      <c r="B3" s="11">
        <f>SUM(SalesTable[Net_Sales])</f>
        <v>927239.52499999991</v>
      </c>
    </row>
    <row r="4" spans="1:5" x14ac:dyDescent="0.3">
      <c r="A4" s="14" t="s">
        <v>162</v>
      </c>
      <c r="B4" s="12">
        <f>COUNTA(SalesTable[Order_ID])</f>
        <v>100</v>
      </c>
    </row>
    <row r="5" spans="1:5" ht="15" thickBot="1" x14ac:dyDescent="0.35">
      <c r="A5" s="15" t="s">
        <v>163</v>
      </c>
      <c r="B5" s="13">
        <f>AVERAGE(SalesTable[Net_Sales])</f>
        <v>9272.3952499999996</v>
      </c>
    </row>
    <row r="7" spans="1:5" ht="15" thickBot="1" x14ac:dyDescent="0.35"/>
    <row r="8" spans="1:5" x14ac:dyDescent="0.3">
      <c r="A8" s="16" t="s">
        <v>6</v>
      </c>
      <c r="B8" s="17" t="s">
        <v>164</v>
      </c>
      <c r="D8" s="16" t="s">
        <v>168</v>
      </c>
      <c r="E8" s="17" t="s">
        <v>169</v>
      </c>
    </row>
    <row r="9" spans="1:5" x14ac:dyDescent="0.3">
      <c r="A9" s="14" t="s">
        <v>165</v>
      </c>
      <c r="B9" s="18">
        <f>SUMIFS(SalesTable[Net_Sales],SalesTable[Category],A9)</f>
        <v>0</v>
      </c>
      <c r="D9" s="14" t="s">
        <v>19</v>
      </c>
      <c r="E9" s="18">
        <f>COUNTIFS(SalesTable[Order_Status],D9)</f>
        <v>67</v>
      </c>
    </row>
    <row r="10" spans="1:5" x14ac:dyDescent="0.3">
      <c r="A10" s="14" t="s">
        <v>45</v>
      </c>
      <c r="B10" s="18">
        <f>SUMIFS(SalesTable[Net_Sales],SalesTable[Category],A10)</f>
        <v>339418.25</v>
      </c>
      <c r="D10" s="14" t="s">
        <v>34</v>
      </c>
      <c r="E10" s="18">
        <f>COUNTIFS(SalesTable[Order_Status],D10)</f>
        <v>16</v>
      </c>
    </row>
    <row r="11" spans="1:5" ht="15" thickBot="1" x14ac:dyDescent="0.35">
      <c r="A11" s="14" t="s">
        <v>41</v>
      </c>
      <c r="B11" s="18">
        <f>SUMIFS(SalesTable[Net_Sales],SalesTable[Category],A11)</f>
        <v>3472.2749999999996</v>
      </c>
      <c r="D11" s="15" t="s">
        <v>42</v>
      </c>
      <c r="E11" s="19">
        <f>COUNTIFS(SalesTable[Order_Status],D11)</f>
        <v>17</v>
      </c>
    </row>
    <row r="12" spans="1:5" x14ac:dyDescent="0.3">
      <c r="A12" s="14" t="s">
        <v>166</v>
      </c>
      <c r="B12" s="18">
        <f>SUMIFS(SalesTable[Net_Sales],SalesTable[Category],A12)</f>
        <v>0</v>
      </c>
    </row>
    <row r="13" spans="1:5" x14ac:dyDescent="0.3">
      <c r="A13" s="14" t="s">
        <v>167</v>
      </c>
      <c r="B13" s="18">
        <f>SUMIFS(SalesTable[Net_Sales],SalesTable[Category],A13)</f>
        <v>0</v>
      </c>
    </row>
    <row r="14" spans="1:5" ht="15" thickBot="1" x14ac:dyDescent="0.35">
      <c r="A14" s="15" t="s">
        <v>49</v>
      </c>
      <c r="B14" s="19">
        <f>SUMIFS(SalesTable[Net_Sales],SalesTable[Category],A14)</f>
        <v>41147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Sheet5</vt:lpstr>
      <vt:lpstr>Sales_Data</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Shadab Shamim</cp:lastModifiedBy>
  <dcterms:created xsi:type="dcterms:W3CDTF">2026-10-22T06:57:02Z</dcterms:created>
  <dcterms:modified xsi:type="dcterms:W3CDTF">2026-10-22T10:08:51Z</dcterms:modified>
</cp:coreProperties>
</file>